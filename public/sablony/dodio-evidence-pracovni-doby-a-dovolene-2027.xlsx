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1_89EEFC78CEDAECB66FE5D5D8B5074AC9EB9AFDBE" xr6:coauthVersionLast="47" xr6:coauthVersionMax="47" xr10:uidLastSave="{00000000-0000-0000-0000-000000000000}"/>
  <bookViews>
    <workbookView xWindow="-120" yWindow="-120" windowWidth="51840" windowHeight="21120" activeTab="12" xr2:uid="{00000000-000D-0000-FFFF-FFFF00000000}"/>
  </bookViews>
  <sheets>
    <sheet name="PREDVOLBY" sheetId="1" r:id="rId1"/>
    <sheet name="SVATKY_2027" sheetId="2" r:id="rId2"/>
    <sheet name="01_2027" sheetId="3" r:id="rId3"/>
    <sheet name="02_2027" sheetId="4" r:id="rId4"/>
    <sheet name="03_2027" sheetId="5" r:id="rId5"/>
    <sheet name="04_2027" sheetId="6" r:id="rId6"/>
    <sheet name="05_2027" sheetId="7" r:id="rId7"/>
    <sheet name="06_2027" sheetId="8" r:id="rId8"/>
    <sheet name="07_2027" sheetId="9" r:id="rId9"/>
    <sheet name="08_2027" sheetId="10" r:id="rId10"/>
    <sheet name="09_2027" sheetId="11" r:id="rId11"/>
    <sheet name="10_2027" sheetId="12" r:id="rId12"/>
    <sheet name="11_2027" sheetId="13" r:id="rId13"/>
    <sheet name="12_2027" sheetId="14" r:id="rId14"/>
    <sheet name="PREHLED_2027" sheetId="15" r:id="rId15"/>
  </sheets>
  <definedNames>
    <definedName name="_xlnm.Print_Area" localSheetId="2">'01_2027'!$A1:$S51</definedName>
    <definedName name="_xlnm.Print_Area" localSheetId="3">'02_2027'!$A1:$S51</definedName>
    <definedName name="_xlnm.Print_Area" localSheetId="4">'03_2027'!$A1:$S51</definedName>
    <definedName name="_xlnm.Print_Area" localSheetId="5">'04_2027'!$A1:$S51</definedName>
    <definedName name="_xlnm.Print_Area" localSheetId="6">'05_2027'!$A1:$S51</definedName>
    <definedName name="_xlnm.Print_Area" localSheetId="7">'06_2027'!$A1:$S51</definedName>
    <definedName name="_xlnm.Print_Area" localSheetId="8">'07_2027'!$A1:$S51</definedName>
    <definedName name="_xlnm.Print_Area" localSheetId="9">'08_2027'!$A1:$S51</definedName>
    <definedName name="_xlnm.Print_Area" localSheetId="10">'09_2027'!$A1:$S51</definedName>
    <definedName name="_xlnm.Print_Area" localSheetId="11">'10_2027'!$A1:$S51</definedName>
    <definedName name="_xlnm.Print_Area" localSheetId="12">'11_2027'!$A1:$S51</definedName>
    <definedName name="_xlnm.Print_Area" localSheetId="13">'12_2027'!$A1:$S51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5" l="1"/>
  <c r="G17" i="15"/>
  <c r="G16" i="15"/>
  <c r="B4" i="15"/>
  <c r="F38" i="14"/>
  <c r="R37" i="14"/>
  <c r="N17" i="15" s="1"/>
  <c r="Q37" i="14"/>
  <c r="M17" i="15" s="1"/>
  <c r="P37" i="14"/>
  <c r="O37" i="14"/>
  <c r="K17" i="15" s="1"/>
  <c r="N37" i="14"/>
  <c r="J17" i="15" s="1"/>
  <c r="L37" i="14"/>
  <c r="H17" i="15" s="1"/>
  <c r="K37" i="14"/>
  <c r="J37" i="14"/>
  <c r="B36" i="14"/>
  <c r="A36" i="14"/>
  <c r="A35" i="14"/>
  <c r="B34" i="14"/>
  <c r="A34" i="14"/>
  <c r="U33" i="14"/>
  <c r="S33" i="14" s="1"/>
  <c r="B33" i="14"/>
  <c r="A33" i="14"/>
  <c r="A32" i="14"/>
  <c r="U31" i="14"/>
  <c r="B31" i="14"/>
  <c r="A31" i="14"/>
  <c r="A30" i="14"/>
  <c r="U29" i="14"/>
  <c r="B29" i="14"/>
  <c r="A29" i="14"/>
  <c r="A28" i="14"/>
  <c r="U27" i="14"/>
  <c r="S27" i="14"/>
  <c r="M27" i="14"/>
  <c r="B27" i="14"/>
  <c r="A27" i="14"/>
  <c r="U26" i="14"/>
  <c r="S26" i="14"/>
  <c r="A26" i="14"/>
  <c r="U25" i="14"/>
  <c r="S25" i="14" s="1"/>
  <c r="M25" i="14"/>
  <c r="A25" i="14"/>
  <c r="A24" i="14"/>
  <c r="A23" i="14"/>
  <c r="A22" i="14"/>
  <c r="U21" i="14"/>
  <c r="S21" i="14" s="1"/>
  <c r="M21" i="14"/>
  <c r="B21" i="14"/>
  <c r="A21" i="14"/>
  <c r="V21" i="14" s="1"/>
  <c r="E21" i="14" s="1"/>
  <c r="A20" i="14"/>
  <c r="U19" i="14"/>
  <c r="M19" i="14" s="1"/>
  <c r="B19" i="14"/>
  <c r="A19" i="14"/>
  <c r="A18" i="14"/>
  <c r="U17" i="14"/>
  <c r="B17" i="14"/>
  <c r="A17" i="14"/>
  <c r="A16" i="14"/>
  <c r="U15" i="14"/>
  <c r="S15" i="14"/>
  <c r="M15" i="14"/>
  <c r="B15" i="14"/>
  <c r="A15" i="14"/>
  <c r="A14" i="14"/>
  <c r="U13" i="14"/>
  <c r="B13" i="14"/>
  <c r="A13" i="14"/>
  <c r="A12" i="14"/>
  <c r="U11" i="14"/>
  <c r="A11" i="14"/>
  <c r="A10" i="14"/>
  <c r="A9" i="14"/>
  <c r="V8" i="14"/>
  <c r="S8" i="14"/>
  <c r="M8" i="14"/>
  <c r="A8" i="14"/>
  <c r="U8" i="14" s="1"/>
  <c r="U7" i="14"/>
  <c r="S7" i="14"/>
  <c r="M7" i="14"/>
  <c r="B7" i="14"/>
  <c r="A7" i="14"/>
  <c r="U6" i="14"/>
  <c r="S6" i="14"/>
  <c r="A6" i="14"/>
  <c r="B6" i="14" s="1"/>
  <c r="I3" i="14"/>
  <c r="A2" i="14"/>
  <c r="F38" i="13"/>
  <c r="R37" i="13"/>
  <c r="N16" i="15" s="1"/>
  <c r="Q37" i="13"/>
  <c r="M16" i="15" s="1"/>
  <c r="P37" i="13"/>
  <c r="L16" i="15" s="1"/>
  <c r="O37" i="13"/>
  <c r="K16" i="15" s="1"/>
  <c r="N37" i="13"/>
  <c r="J16" i="15" s="1"/>
  <c r="L37" i="13"/>
  <c r="H16" i="15" s="1"/>
  <c r="K37" i="13"/>
  <c r="J37" i="13"/>
  <c r="B36" i="13"/>
  <c r="A36" i="13"/>
  <c r="U35" i="13"/>
  <c r="A35" i="13"/>
  <c r="A34" i="13"/>
  <c r="U33" i="13"/>
  <c r="S33" i="13"/>
  <c r="M33" i="13"/>
  <c r="G33" i="13"/>
  <c r="I33" i="13" s="1"/>
  <c r="F33" i="13"/>
  <c r="E33" i="13"/>
  <c r="B33" i="13"/>
  <c r="A33" i="13"/>
  <c r="V32" i="13"/>
  <c r="U32" i="13"/>
  <c r="S32" i="13"/>
  <c r="A32" i="13"/>
  <c r="B32" i="13" s="1"/>
  <c r="U31" i="13"/>
  <c r="M31" i="13" s="1"/>
  <c r="B31" i="13"/>
  <c r="A31" i="13"/>
  <c r="B30" i="13"/>
  <c r="A30" i="13"/>
  <c r="U29" i="13"/>
  <c r="S29" i="13"/>
  <c r="M29" i="13"/>
  <c r="B29" i="13"/>
  <c r="A29" i="13"/>
  <c r="A28" i="13"/>
  <c r="A27" i="13"/>
  <c r="B26" i="13"/>
  <c r="A26" i="13"/>
  <c r="U25" i="13"/>
  <c r="M25" i="13" s="1"/>
  <c r="A25" i="13"/>
  <c r="B24" i="13"/>
  <c r="A24" i="13"/>
  <c r="A23" i="13"/>
  <c r="A22" i="13"/>
  <c r="U21" i="13"/>
  <c r="S21" i="13"/>
  <c r="M21" i="13"/>
  <c r="B21" i="13"/>
  <c r="A21" i="13"/>
  <c r="U20" i="13"/>
  <c r="A20" i="13"/>
  <c r="B20" i="13" s="1"/>
  <c r="U19" i="13"/>
  <c r="M19" i="13" s="1"/>
  <c r="G19" i="13"/>
  <c r="B19" i="13"/>
  <c r="A19" i="13"/>
  <c r="B18" i="13"/>
  <c r="A18" i="13"/>
  <c r="U17" i="13"/>
  <c r="S17" i="13"/>
  <c r="M17" i="13"/>
  <c r="B17" i="13"/>
  <c r="A17" i="13"/>
  <c r="A16" i="13"/>
  <c r="A15" i="13"/>
  <c r="B14" i="13"/>
  <c r="A14" i="13"/>
  <c r="U13" i="13"/>
  <c r="A13" i="13"/>
  <c r="A12" i="13"/>
  <c r="B11" i="13"/>
  <c r="A11" i="13"/>
  <c r="A10" i="13"/>
  <c r="U9" i="13"/>
  <c r="S9" i="13"/>
  <c r="M9" i="13"/>
  <c r="B9" i="13"/>
  <c r="A9" i="13"/>
  <c r="U8" i="13"/>
  <c r="S8" i="13"/>
  <c r="A8" i="13"/>
  <c r="B8" i="13" s="1"/>
  <c r="U7" i="13"/>
  <c r="M7" i="13"/>
  <c r="B7" i="13"/>
  <c r="A7" i="13"/>
  <c r="B6" i="13"/>
  <c r="A6" i="13"/>
  <c r="I3" i="13"/>
  <c r="A2" i="13"/>
  <c r="F38" i="12"/>
  <c r="R37" i="12"/>
  <c r="N15" i="15" s="1"/>
  <c r="Q37" i="12"/>
  <c r="M15" i="15" s="1"/>
  <c r="P37" i="12"/>
  <c r="L15" i="15" s="1"/>
  <c r="O37" i="12"/>
  <c r="K15" i="15" s="1"/>
  <c r="N37" i="12"/>
  <c r="J15" i="15" s="1"/>
  <c r="L37" i="12"/>
  <c r="H15" i="15" s="1"/>
  <c r="K37" i="12"/>
  <c r="G15" i="15" s="1"/>
  <c r="J37" i="12"/>
  <c r="A36" i="12"/>
  <c r="U35" i="12"/>
  <c r="S35" i="12"/>
  <c r="M35" i="12"/>
  <c r="H35" i="12"/>
  <c r="G35" i="12"/>
  <c r="I35" i="12" s="1"/>
  <c r="F35" i="12"/>
  <c r="B35" i="12"/>
  <c r="A35" i="12"/>
  <c r="V35" i="12" s="1"/>
  <c r="A34" i="12"/>
  <c r="V33" i="12"/>
  <c r="U33" i="12"/>
  <c r="S33" i="12" s="1"/>
  <c r="M33" i="12"/>
  <c r="A33" i="12"/>
  <c r="A32" i="12"/>
  <c r="U31" i="12"/>
  <c r="A31" i="12"/>
  <c r="V30" i="12"/>
  <c r="U30" i="12"/>
  <c r="S30" i="12"/>
  <c r="M30" i="12"/>
  <c r="A30" i="12"/>
  <c r="V29" i="12"/>
  <c r="U29" i="12"/>
  <c r="B29" i="12"/>
  <c r="A29" i="12"/>
  <c r="B28" i="12"/>
  <c r="A28" i="12"/>
  <c r="U27" i="12"/>
  <c r="B27" i="12"/>
  <c r="A27" i="12"/>
  <c r="V26" i="12"/>
  <c r="U26" i="12"/>
  <c r="M26" i="12" s="1"/>
  <c r="S26" i="12"/>
  <c r="F26" i="12"/>
  <c r="E26" i="12"/>
  <c r="A26" i="12"/>
  <c r="U25" i="12"/>
  <c r="B25" i="12"/>
  <c r="A25" i="12"/>
  <c r="B24" i="12"/>
  <c r="A24" i="12"/>
  <c r="B23" i="12"/>
  <c r="A23" i="12"/>
  <c r="B22" i="12"/>
  <c r="A22" i="12"/>
  <c r="U21" i="12"/>
  <c r="C21" i="12" s="1"/>
  <c r="S21" i="12"/>
  <c r="M21" i="12"/>
  <c r="G21" i="12"/>
  <c r="F21" i="12"/>
  <c r="E21" i="12"/>
  <c r="D21" i="12"/>
  <c r="B21" i="12"/>
  <c r="A21" i="12"/>
  <c r="V21" i="12" s="1"/>
  <c r="U20" i="12"/>
  <c r="A20" i="12"/>
  <c r="A19" i="12"/>
  <c r="A18" i="12"/>
  <c r="U17" i="12"/>
  <c r="M17" i="12" s="1"/>
  <c r="A17" i="12"/>
  <c r="U16" i="12"/>
  <c r="S16" i="12"/>
  <c r="M16" i="12"/>
  <c r="A16" i="12"/>
  <c r="U15" i="12"/>
  <c r="V15" i="12" s="1"/>
  <c r="M15" i="12"/>
  <c r="E15" i="12"/>
  <c r="D15" i="12"/>
  <c r="C15" i="12"/>
  <c r="B15" i="12"/>
  <c r="A15" i="12"/>
  <c r="A14" i="12"/>
  <c r="B13" i="12"/>
  <c r="A13" i="12"/>
  <c r="B12" i="12"/>
  <c r="A12" i="12"/>
  <c r="B11" i="12"/>
  <c r="A11" i="12"/>
  <c r="A10" i="12"/>
  <c r="B10" i="12" s="1"/>
  <c r="U9" i="12"/>
  <c r="A9" i="12"/>
  <c r="A8" i="12"/>
  <c r="A7" i="12"/>
  <c r="B6" i="12"/>
  <c r="A6" i="12"/>
  <c r="I3" i="12"/>
  <c r="A2" i="12"/>
  <c r="F38" i="11"/>
  <c r="R37" i="11"/>
  <c r="N14" i="15" s="1"/>
  <c r="Q37" i="11"/>
  <c r="M14" i="15" s="1"/>
  <c r="P37" i="11"/>
  <c r="L14" i="15" s="1"/>
  <c r="O37" i="11"/>
  <c r="K14" i="15" s="1"/>
  <c r="N37" i="11"/>
  <c r="J14" i="15" s="1"/>
  <c r="L37" i="11"/>
  <c r="H14" i="15" s="1"/>
  <c r="K37" i="11"/>
  <c r="G14" i="15" s="1"/>
  <c r="J37" i="11"/>
  <c r="A36" i="11"/>
  <c r="A35" i="11"/>
  <c r="B34" i="11"/>
  <c r="A34" i="11"/>
  <c r="A33" i="11"/>
  <c r="B32" i="11"/>
  <c r="A32" i="11"/>
  <c r="B31" i="11"/>
  <c r="A31" i="11"/>
  <c r="U30" i="11"/>
  <c r="D30" i="11" s="1"/>
  <c r="S30" i="11"/>
  <c r="M30" i="11"/>
  <c r="G30" i="11"/>
  <c r="F30" i="11"/>
  <c r="E30" i="11"/>
  <c r="C30" i="11"/>
  <c r="B30" i="11"/>
  <c r="A30" i="11"/>
  <c r="V30" i="11" s="1"/>
  <c r="U29" i="11"/>
  <c r="S29" i="11" s="1"/>
  <c r="A29" i="11"/>
  <c r="A28" i="11"/>
  <c r="U28" i="11" s="1"/>
  <c r="U27" i="11"/>
  <c r="M27" i="11"/>
  <c r="B27" i="11"/>
  <c r="A27" i="11"/>
  <c r="A26" i="11"/>
  <c r="A25" i="11"/>
  <c r="A24" i="11"/>
  <c r="V23" i="11"/>
  <c r="U23" i="11"/>
  <c r="M23" i="11"/>
  <c r="F23" i="11"/>
  <c r="A23" i="11"/>
  <c r="U22" i="11"/>
  <c r="A22" i="11"/>
  <c r="A21" i="11"/>
  <c r="A20" i="11"/>
  <c r="B19" i="11"/>
  <c r="A19" i="11"/>
  <c r="U18" i="11"/>
  <c r="B18" i="11"/>
  <c r="A18" i="11"/>
  <c r="A17" i="11"/>
  <c r="U16" i="11"/>
  <c r="G16" i="11"/>
  <c r="B16" i="11"/>
  <c r="A16" i="11"/>
  <c r="A15" i="11"/>
  <c r="U14" i="11"/>
  <c r="M14" i="11"/>
  <c r="B14" i="11"/>
  <c r="A14" i="11"/>
  <c r="A13" i="11"/>
  <c r="U12" i="11"/>
  <c r="A12" i="11"/>
  <c r="A11" i="11"/>
  <c r="U10" i="11"/>
  <c r="C10" i="11"/>
  <c r="B10" i="11"/>
  <c r="A10" i="11"/>
  <c r="U9" i="11"/>
  <c r="G9" i="11" s="1"/>
  <c r="A9" i="11"/>
  <c r="A8" i="11"/>
  <c r="B7" i="11"/>
  <c r="A7" i="11"/>
  <c r="U6" i="11"/>
  <c r="M6" i="11"/>
  <c r="B6" i="11"/>
  <c r="A6" i="11"/>
  <c r="V6" i="11" s="1"/>
  <c r="I3" i="11"/>
  <c r="A2" i="11"/>
  <c r="F38" i="10"/>
  <c r="R37" i="10"/>
  <c r="N13" i="15" s="1"/>
  <c r="Q37" i="10"/>
  <c r="M13" i="15" s="1"/>
  <c r="P37" i="10"/>
  <c r="L13" i="15" s="1"/>
  <c r="O37" i="10"/>
  <c r="K13" i="15" s="1"/>
  <c r="N37" i="10"/>
  <c r="J13" i="15" s="1"/>
  <c r="L37" i="10"/>
  <c r="H13" i="15" s="1"/>
  <c r="K37" i="10"/>
  <c r="G13" i="15" s="1"/>
  <c r="J37" i="10"/>
  <c r="V36" i="10"/>
  <c r="U36" i="10"/>
  <c r="S36" i="10"/>
  <c r="M36" i="10"/>
  <c r="F36" i="10"/>
  <c r="E36" i="10"/>
  <c r="D36" i="10"/>
  <c r="C36" i="10"/>
  <c r="B36" i="10"/>
  <c r="A36" i="10"/>
  <c r="V35" i="10"/>
  <c r="U35" i="10"/>
  <c r="M35" i="10" s="1"/>
  <c r="S35" i="10"/>
  <c r="F35" i="10"/>
  <c r="E35" i="10"/>
  <c r="D35" i="10"/>
  <c r="C35" i="10"/>
  <c r="B35" i="10"/>
  <c r="A35" i="10"/>
  <c r="A34" i="10"/>
  <c r="U33" i="10"/>
  <c r="M33" i="10"/>
  <c r="I33" i="10"/>
  <c r="G33" i="10"/>
  <c r="H33" i="10" s="1"/>
  <c r="E33" i="10"/>
  <c r="B33" i="10"/>
  <c r="A33" i="10"/>
  <c r="C33" i="10" s="1"/>
  <c r="A32" i="10"/>
  <c r="U31" i="10"/>
  <c r="B31" i="10"/>
  <c r="A31" i="10"/>
  <c r="A30" i="10"/>
  <c r="U29" i="10"/>
  <c r="S29" i="10" s="1"/>
  <c r="M29" i="10"/>
  <c r="B29" i="10"/>
  <c r="A29" i="10"/>
  <c r="B28" i="10"/>
  <c r="A28" i="10"/>
  <c r="A27" i="10"/>
  <c r="B26" i="10"/>
  <c r="A26" i="10"/>
  <c r="A25" i="10"/>
  <c r="A24" i="10"/>
  <c r="U23" i="10"/>
  <c r="B23" i="10"/>
  <c r="A23" i="10"/>
  <c r="A22" i="10"/>
  <c r="U21" i="10"/>
  <c r="S21" i="10" s="1"/>
  <c r="B21" i="10"/>
  <c r="A21" i="10"/>
  <c r="S20" i="10"/>
  <c r="A20" i="10"/>
  <c r="U20" i="10" s="1"/>
  <c r="M20" i="10" s="1"/>
  <c r="U19" i="10"/>
  <c r="S19" i="10"/>
  <c r="M19" i="10"/>
  <c r="G19" i="10"/>
  <c r="I19" i="10" s="1"/>
  <c r="F19" i="10"/>
  <c r="B19" i="10"/>
  <c r="A19" i="10"/>
  <c r="A18" i="10"/>
  <c r="U17" i="10"/>
  <c r="M17" i="10" s="1"/>
  <c r="B17" i="10"/>
  <c r="A17" i="10"/>
  <c r="A16" i="10"/>
  <c r="A15" i="10"/>
  <c r="B14" i="10"/>
  <c r="A14" i="10"/>
  <c r="A13" i="10"/>
  <c r="A12" i="10"/>
  <c r="U11" i="10"/>
  <c r="B11" i="10"/>
  <c r="A11" i="10"/>
  <c r="A10" i="10"/>
  <c r="U9" i="10"/>
  <c r="M9" i="10" s="1"/>
  <c r="B9" i="10"/>
  <c r="A9" i="10"/>
  <c r="A8" i="10"/>
  <c r="U7" i="10"/>
  <c r="B7" i="10"/>
  <c r="A7" i="10"/>
  <c r="A6" i="10"/>
  <c r="I3" i="10"/>
  <c r="A2" i="10"/>
  <c r="F38" i="9"/>
  <c r="R37" i="9"/>
  <c r="N12" i="15" s="1"/>
  <c r="Q37" i="9"/>
  <c r="M12" i="15" s="1"/>
  <c r="P37" i="9"/>
  <c r="L12" i="15" s="1"/>
  <c r="O37" i="9"/>
  <c r="K12" i="15" s="1"/>
  <c r="N37" i="9"/>
  <c r="J12" i="15" s="1"/>
  <c r="L37" i="9"/>
  <c r="H12" i="15" s="1"/>
  <c r="K37" i="9"/>
  <c r="G12" i="15" s="1"/>
  <c r="J37" i="9"/>
  <c r="A36" i="9"/>
  <c r="A35" i="9"/>
  <c r="U34" i="9"/>
  <c r="M34" i="9" s="1"/>
  <c r="A34" i="9"/>
  <c r="A33" i="9"/>
  <c r="U33" i="9" s="1"/>
  <c r="B32" i="9"/>
  <c r="A32" i="9"/>
  <c r="B31" i="9"/>
  <c r="A31" i="9"/>
  <c r="B30" i="9"/>
  <c r="A30" i="9"/>
  <c r="V29" i="9"/>
  <c r="U29" i="9"/>
  <c r="B29" i="9"/>
  <c r="A29" i="9"/>
  <c r="U28" i="9"/>
  <c r="S28" i="9"/>
  <c r="A28" i="9"/>
  <c r="M27" i="9"/>
  <c r="A27" i="9"/>
  <c r="U27" i="9" s="1"/>
  <c r="B26" i="9"/>
  <c r="A26" i="9"/>
  <c r="U25" i="9"/>
  <c r="S25" i="9" s="1"/>
  <c r="B25" i="9"/>
  <c r="A25" i="9"/>
  <c r="A24" i="9"/>
  <c r="B23" i="9"/>
  <c r="A23" i="9"/>
  <c r="U22" i="9"/>
  <c r="B22" i="9"/>
  <c r="A22" i="9"/>
  <c r="U21" i="9"/>
  <c r="A21" i="9"/>
  <c r="A20" i="9"/>
  <c r="B19" i="9"/>
  <c r="A19" i="9"/>
  <c r="U18" i="9"/>
  <c r="A18" i="9"/>
  <c r="U17" i="9"/>
  <c r="B17" i="9"/>
  <c r="A17" i="9"/>
  <c r="V16" i="9"/>
  <c r="U16" i="9"/>
  <c r="G16" i="9"/>
  <c r="B16" i="9"/>
  <c r="A16" i="9"/>
  <c r="V15" i="9"/>
  <c r="U15" i="9"/>
  <c r="S15" i="9" s="1"/>
  <c r="M15" i="9"/>
  <c r="G15" i="9"/>
  <c r="E15" i="9"/>
  <c r="A15" i="9"/>
  <c r="B14" i="9"/>
  <c r="A14" i="9"/>
  <c r="U13" i="9"/>
  <c r="M13" i="9" s="1"/>
  <c r="S13" i="9"/>
  <c r="D13" i="9"/>
  <c r="B13" i="9"/>
  <c r="A13" i="9"/>
  <c r="V13" i="9" s="1"/>
  <c r="F13" i="9" s="1"/>
  <c r="U12" i="9"/>
  <c r="S12" i="9"/>
  <c r="M12" i="9"/>
  <c r="A12" i="9"/>
  <c r="A11" i="9"/>
  <c r="B10" i="9"/>
  <c r="A10" i="9"/>
  <c r="B9" i="9"/>
  <c r="A9" i="9"/>
  <c r="U8" i="9"/>
  <c r="M8" i="9" s="1"/>
  <c r="S8" i="9"/>
  <c r="E8" i="9"/>
  <c r="C8" i="9"/>
  <c r="A8" i="9"/>
  <c r="U7" i="9"/>
  <c r="S7" i="9" s="1"/>
  <c r="M7" i="9"/>
  <c r="B7" i="9"/>
  <c r="A7" i="9"/>
  <c r="U6" i="9"/>
  <c r="S6" i="9"/>
  <c r="M6" i="9"/>
  <c r="A6" i="9"/>
  <c r="I3" i="9"/>
  <c r="A2" i="9"/>
  <c r="F38" i="8"/>
  <c r="R37" i="8"/>
  <c r="N11" i="15" s="1"/>
  <c r="Q37" i="8"/>
  <c r="M11" i="15" s="1"/>
  <c r="P37" i="8"/>
  <c r="L11" i="15" s="1"/>
  <c r="O37" i="8"/>
  <c r="K11" i="15" s="1"/>
  <c r="N37" i="8"/>
  <c r="J11" i="15" s="1"/>
  <c r="L37" i="8"/>
  <c r="H11" i="15" s="1"/>
  <c r="K37" i="8"/>
  <c r="G11" i="15" s="1"/>
  <c r="J37" i="8"/>
  <c r="U36" i="8"/>
  <c r="M36" i="8"/>
  <c r="C36" i="8"/>
  <c r="B36" i="8"/>
  <c r="A36" i="8"/>
  <c r="B35" i="8"/>
  <c r="A35" i="8"/>
  <c r="A34" i="8"/>
  <c r="U33" i="8"/>
  <c r="S33" i="8"/>
  <c r="B33" i="8"/>
  <c r="A33" i="8"/>
  <c r="A32" i="8"/>
  <c r="U31" i="8"/>
  <c r="C31" i="8" s="1"/>
  <c r="S31" i="8"/>
  <c r="B31" i="8"/>
  <c r="A31" i="8"/>
  <c r="U30" i="8"/>
  <c r="M30" i="8" s="1"/>
  <c r="S30" i="8"/>
  <c r="B30" i="8"/>
  <c r="A30" i="8"/>
  <c r="A29" i="8"/>
  <c r="B28" i="8"/>
  <c r="A28" i="8"/>
  <c r="U27" i="8"/>
  <c r="B27" i="8"/>
  <c r="A27" i="8"/>
  <c r="U26" i="8"/>
  <c r="A26" i="8"/>
  <c r="A25" i="8"/>
  <c r="A24" i="8"/>
  <c r="B23" i="8"/>
  <c r="A23" i="8"/>
  <c r="U22" i="8"/>
  <c r="B22" i="8"/>
  <c r="A22" i="8"/>
  <c r="U21" i="8"/>
  <c r="M21" i="8" s="1"/>
  <c r="B21" i="8"/>
  <c r="A21" i="8"/>
  <c r="A20" i="8"/>
  <c r="U19" i="8"/>
  <c r="S19" i="8"/>
  <c r="M19" i="8"/>
  <c r="V19" i="8" s="1"/>
  <c r="C19" i="8"/>
  <c r="B19" i="8"/>
  <c r="A19" i="8"/>
  <c r="V18" i="8"/>
  <c r="U18" i="8"/>
  <c r="S18" i="8" s="1"/>
  <c r="B18" i="8"/>
  <c r="A18" i="8"/>
  <c r="V17" i="8"/>
  <c r="U17" i="8"/>
  <c r="M17" i="8"/>
  <c r="I17" i="8"/>
  <c r="G17" i="8"/>
  <c r="H17" i="8" s="1"/>
  <c r="E17" i="8"/>
  <c r="C17" i="8"/>
  <c r="B17" i="8"/>
  <c r="A17" i="8"/>
  <c r="S16" i="8"/>
  <c r="M16" i="8"/>
  <c r="V16" i="8" s="1"/>
  <c r="E16" i="8" s="1"/>
  <c r="C16" i="8"/>
  <c r="B16" i="8"/>
  <c r="A16" i="8"/>
  <c r="U16" i="8" s="1"/>
  <c r="U15" i="8"/>
  <c r="M15" i="8"/>
  <c r="B15" i="8"/>
  <c r="A15" i="8"/>
  <c r="V14" i="8"/>
  <c r="C14" i="8" s="1"/>
  <c r="U14" i="8"/>
  <c r="S14" i="8"/>
  <c r="M14" i="8"/>
  <c r="F14" i="8"/>
  <c r="D14" i="8"/>
  <c r="A14" i="8"/>
  <c r="B14" i="8" s="1"/>
  <c r="U13" i="8"/>
  <c r="S13" i="8"/>
  <c r="M13" i="8"/>
  <c r="V13" i="8" s="1"/>
  <c r="E13" i="8" s="1"/>
  <c r="B13" i="8"/>
  <c r="A13" i="8"/>
  <c r="V12" i="8"/>
  <c r="U12" i="8"/>
  <c r="S12" i="8"/>
  <c r="M12" i="8"/>
  <c r="F12" i="8"/>
  <c r="B12" i="8"/>
  <c r="A12" i="8"/>
  <c r="V11" i="8"/>
  <c r="U11" i="8"/>
  <c r="M11" i="8"/>
  <c r="B11" i="8"/>
  <c r="A11" i="8"/>
  <c r="U10" i="8"/>
  <c r="S10" i="8"/>
  <c r="B10" i="8"/>
  <c r="A10" i="8"/>
  <c r="U9" i="8"/>
  <c r="M9" i="8" s="1"/>
  <c r="B9" i="8"/>
  <c r="A9" i="8"/>
  <c r="U8" i="8"/>
  <c r="S8" i="8"/>
  <c r="M8" i="8"/>
  <c r="V8" i="8" s="1"/>
  <c r="E8" i="8" s="1"/>
  <c r="D8" i="8"/>
  <c r="B8" i="8"/>
  <c r="A8" i="8"/>
  <c r="U7" i="8"/>
  <c r="B7" i="8"/>
  <c r="A7" i="8"/>
  <c r="U6" i="8"/>
  <c r="B6" i="8"/>
  <c r="A6" i="8"/>
  <c r="I3" i="8"/>
  <c r="A2" i="8"/>
  <c r="F38" i="7"/>
  <c r="R37" i="7"/>
  <c r="N10" i="15" s="1"/>
  <c r="Q37" i="7"/>
  <c r="M10" i="15" s="1"/>
  <c r="P37" i="7"/>
  <c r="L10" i="15" s="1"/>
  <c r="O37" i="7"/>
  <c r="K10" i="15" s="1"/>
  <c r="N37" i="7"/>
  <c r="J10" i="15" s="1"/>
  <c r="L37" i="7"/>
  <c r="H10" i="15" s="1"/>
  <c r="K37" i="7"/>
  <c r="G10" i="15" s="1"/>
  <c r="J37" i="7"/>
  <c r="U36" i="7"/>
  <c r="M36" i="7" s="1"/>
  <c r="S36" i="7"/>
  <c r="A36" i="7"/>
  <c r="U35" i="7"/>
  <c r="D35" i="7" s="1"/>
  <c r="F35" i="7"/>
  <c r="B35" i="7"/>
  <c r="A35" i="7"/>
  <c r="A34" i="7"/>
  <c r="U33" i="7"/>
  <c r="S33" i="7"/>
  <c r="M33" i="7"/>
  <c r="B33" i="7"/>
  <c r="A33" i="7"/>
  <c r="B32" i="7"/>
  <c r="A32" i="7"/>
  <c r="U31" i="7"/>
  <c r="B31" i="7"/>
  <c r="A31" i="7"/>
  <c r="A30" i="7"/>
  <c r="U29" i="7"/>
  <c r="S29" i="7"/>
  <c r="M29" i="7"/>
  <c r="B29" i="7"/>
  <c r="A29" i="7"/>
  <c r="A28" i="7"/>
  <c r="A27" i="7"/>
  <c r="U26" i="7"/>
  <c r="S26" i="7"/>
  <c r="M26" i="7"/>
  <c r="A26" i="7"/>
  <c r="U25" i="7"/>
  <c r="S25" i="7"/>
  <c r="B25" i="7"/>
  <c r="A25" i="7"/>
  <c r="A24" i="7"/>
  <c r="U23" i="7"/>
  <c r="A23" i="7"/>
  <c r="U22" i="7"/>
  <c r="S22" i="7"/>
  <c r="M22" i="7"/>
  <c r="B22" i="7"/>
  <c r="A22" i="7"/>
  <c r="B21" i="7"/>
  <c r="A21" i="7"/>
  <c r="U21" i="7" s="1"/>
  <c r="U20" i="7"/>
  <c r="S20" i="7"/>
  <c r="M20" i="7"/>
  <c r="G20" i="7"/>
  <c r="F20" i="7"/>
  <c r="D20" i="7"/>
  <c r="C20" i="7"/>
  <c r="B20" i="7"/>
  <c r="A20" i="7"/>
  <c r="A19" i="7"/>
  <c r="U18" i="7"/>
  <c r="B18" i="7"/>
  <c r="A18" i="7"/>
  <c r="U17" i="7"/>
  <c r="M17" i="7"/>
  <c r="A17" i="7"/>
  <c r="B16" i="7"/>
  <c r="A16" i="7"/>
  <c r="U15" i="7"/>
  <c r="S15" i="7"/>
  <c r="M15" i="7"/>
  <c r="B15" i="7"/>
  <c r="A15" i="7"/>
  <c r="A14" i="7"/>
  <c r="U14" i="7" s="1"/>
  <c r="B13" i="7"/>
  <c r="A13" i="7"/>
  <c r="U12" i="7"/>
  <c r="S12" i="7" s="1"/>
  <c r="M12" i="7"/>
  <c r="B12" i="7"/>
  <c r="A12" i="7"/>
  <c r="A11" i="7"/>
  <c r="A10" i="7"/>
  <c r="U9" i="7"/>
  <c r="S9" i="7" s="1"/>
  <c r="B9" i="7"/>
  <c r="A9" i="7"/>
  <c r="A8" i="7"/>
  <c r="U7" i="7"/>
  <c r="M7" i="7"/>
  <c r="B7" i="7"/>
  <c r="A7" i="7"/>
  <c r="U6" i="7"/>
  <c r="M6" i="7" s="1"/>
  <c r="S6" i="7"/>
  <c r="G6" i="7"/>
  <c r="F6" i="7"/>
  <c r="E6" i="7"/>
  <c r="C6" i="7"/>
  <c r="B6" i="7"/>
  <c r="A6" i="7"/>
  <c r="I3" i="7"/>
  <c r="A2" i="7"/>
  <c r="F38" i="6"/>
  <c r="R37" i="6"/>
  <c r="N9" i="15" s="1"/>
  <c r="Q37" i="6"/>
  <c r="M9" i="15" s="1"/>
  <c r="P37" i="6"/>
  <c r="L9" i="15" s="1"/>
  <c r="O37" i="6"/>
  <c r="K9" i="15" s="1"/>
  <c r="N37" i="6"/>
  <c r="J9" i="15" s="1"/>
  <c r="L37" i="6"/>
  <c r="H9" i="15" s="1"/>
  <c r="K37" i="6"/>
  <c r="G9" i="15" s="1"/>
  <c r="J37" i="6"/>
  <c r="U36" i="6"/>
  <c r="V36" i="6" s="1"/>
  <c r="A36" i="6"/>
  <c r="B35" i="6"/>
  <c r="A35" i="6"/>
  <c r="U35" i="6" s="1"/>
  <c r="U34" i="6"/>
  <c r="S34" i="6"/>
  <c r="B34" i="6"/>
  <c r="A34" i="6"/>
  <c r="A33" i="6"/>
  <c r="B32" i="6"/>
  <c r="A32" i="6"/>
  <c r="V31" i="6"/>
  <c r="U31" i="6"/>
  <c r="M31" i="6"/>
  <c r="C31" i="6"/>
  <c r="B31" i="6"/>
  <c r="A31" i="6"/>
  <c r="A30" i="6"/>
  <c r="U29" i="6"/>
  <c r="G29" i="6" s="1"/>
  <c r="B29" i="6"/>
  <c r="A29" i="6"/>
  <c r="U28" i="6"/>
  <c r="A28" i="6"/>
  <c r="U27" i="6"/>
  <c r="A27" i="6"/>
  <c r="A26" i="6"/>
  <c r="B25" i="6"/>
  <c r="A25" i="6"/>
  <c r="A24" i="6"/>
  <c r="B23" i="6"/>
  <c r="A23" i="6"/>
  <c r="U22" i="6"/>
  <c r="C22" i="6" s="1"/>
  <c r="S22" i="6"/>
  <c r="E22" i="6"/>
  <c r="B22" i="6"/>
  <c r="A22" i="6"/>
  <c r="U21" i="6"/>
  <c r="M21" i="6"/>
  <c r="A21" i="6"/>
  <c r="A20" i="6"/>
  <c r="B19" i="6"/>
  <c r="A19" i="6"/>
  <c r="A18" i="6"/>
  <c r="U17" i="6"/>
  <c r="B17" i="6"/>
  <c r="A17" i="6"/>
  <c r="A16" i="6"/>
  <c r="B16" i="6" s="1"/>
  <c r="A15" i="6"/>
  <c r="U15" i="6" s="1"/>
  <c r="B14" i="6"/>
  <c r="A14" i="6"/>
  <c r="U13" i="6"/>
  <c r="M13" i="6" s="1"/>
  <c r="S13" i="6"/>
  <c r="B13" i="6"/>
  <c r="A13" i="6"/>
  <c r="A12" i="6"/>
  <c r="A11" i="6"/>
  <c r="U10" i="6"/>
  <c r="S10" i="6" s="1"/>
  <c r="A10" i="6"/>
  <c r="A9" i="6"/>
  <c r="A8" i="6"/>
  <c r="U8" i="6" s="1"/>
  <c r="A7" i="6"/>
  <c r="U6" i="6"/>
  <c r="S6" i="6"/>
  <c r="M6" i="6"/>
  <c r="B6" i="6"/>
  <c r="A6" i="6"/>
  <c r="V6" i="6" s="1"/>
  <c r="I3" i="6"/>
  <c r="A2" i="6"/>
  <c r="F38" i="5"/>
  <c r="R37" i="5"/>
  <c r="N8" i="15" s="1"/>
  <c r="Q37" i="5"/>
  <c r="M8" i="15" s="1"/>
  <c r="P37" i="5"/>
  <c r="L8" i="15" s="1"/>
  <c r="O37" i="5"/>
  <c r="K8" i="15" s="1"/>
  <c r="N37" i="5"/>
  <c r="J8" i="15" s="1"/>
  <c r="L37" i="5"/>
  <c r="H8" i="15" s="1"/>
  <c r="K37" i="5"/>
  <c r="G8" i="15" s="1"/>
  <c r="J37" i="5"/>
  <c r="U36" i="5"/>
  <c r="S36" i="5" s="1"/>
  <c r="M36" i="5"/>
  <c r="V36" i="5" s="1"/>
  <c r="D36" i="5" s="1"/>
  <c r="F36" i="5"/>
  <c r="E36" i="5"/>
  <c r="C36" i="5"/>
  <c r="B36" i="5"/>
  <c r="A36" i="5"/>
  <c r="G36" i="5" s="1"/>
  <c r="A35" i="5"/>
  <c r="B34" i="5"/>
  <c r="A34" i="5"/>
  <c r="U33" i="5"/>
  <c r="M33" i="5" s="1"/>
  <c r="S33" i="5"/>
  <c r="G33" i="5"/>
  <c r="F33" i="5"/>
  <c r="E33" i="5"/>
  <c r="C33" i="5"/>
  <c r="B33" i="5"/>
  <c r="A33" i="5"/>
  <c r="D33" i="5" s="1"/>
  <c r="A32" i="5"/>
  <c r="A31" i="5"/>
  <c r="U30" i="5"/>
  <c r="S30" i="5"/>
  <c r="M30" i="5"/>
  <c r="B30" i="5"/>
  <c r="A30" i="5"/>
  <c r="A29" i="5"/>
  <c r="A28" i="5"/>
  <c r="U27" i="5"/>
  <c r="M27" i="5" s="1"/>
  <c r="S27" i="5"/>
  <c r="A27" i="5"/>
  <c r="U26" i="5"/>
  <c r="S26" i="5" s="1"/>
  <c r="A26" i="5"/>
  <c r="A25" i="5"/>
  <c r="U24" i="5"/>
  <c r="M24" i="5" s="1"/>
  <c r="B24" i="5"/>
  <c r="A24" i="5"/>
  <c r="V24" i="5" s="1"/>
  <c r="E24" i="5" s="1"/>
  <c r="U23" i="5"/>
  <c r="A23" i="5"/>
  <c r="A22" i="5"/>
  <c r="U21" i="5"/>
  <c r="S21" i="5"/>
  <c r="B21" i="5"/>
  <c r="A21" i="5"/>
  <c r="U20" i="5"/>
  <c r="M20" i="5"/>
  <c r="A20" i="5"/>
  <c r="V20" i="5" s="1"/>
  <c r="D20" i="5" s="1"/>
  <c r="B19" i="5"/>
  <c r="A19" i="5"/>
  <c r="U18" i="5"/>
  <c r="S18" i="5" s="1"/>
  <c r="M18" i="5"/>
  <c r="F18" i="5"/>
  <c r="E18" i="5"/>
  <c r="C18" i="5"/>
  <c r="B18" i="5"/>
  <c r="A18" i="5"/>
  <c r="V18" i="5" s="1"/>
  <c r="A17" i="5"/>
  <c r="U17" i="5" s="1"/>
  <c r="A16" i="5"/>
  <c r="V15" i="5"/>
  <c r="U15" i="5"/>
  <c r="M15" i="5" s="1"/>
  <c r="S15" i="5"/>
  <c r="A15" i="5"/>
  <c r="A14" i="5"/>
  <c r="B13" i="5"/>
  <c r="A13" i="5"/>
  <c r="U12" i="5"/>
  <c r="M12" i="5" s="1"/>
  <c r="S12" i="5"/>
  <c r="B12" i="5"/>
  <c r="A12" i="5"/>
  <c r="U11" i="5"/>
  <c r="M11" i="5" s="1"/>
  <c r="G11" i="5"/>
  <c r="H11" i="5" s="1"/>
  <c r="F11" i="5"/>
  <c r="A11" i="5"/>
  <c r="D11" i="5" s="1"/>
  <c r="A10" i="5"/>
  <c r="A9" i="5"/>
  <c r="U8" i="5"/>
  <c r="A8" i="5"/>
  <c r="A7" i="5"/>
  <c r="U6" i="5"/>
  <c r="S6" i="5"/>
  <c r="M6" i="5"/>
  <c r="B6" i="5"/>
  <c r="A6" i="5"/>
  <c r="V6" i="5" s="1"/>
  <c r="E6" i="5" s="1"/>
  <c r="I3" i="5"/>
  <c r="A2" i="5"/>
  <c r="M49" i="4"/>
  <c r="G49" i="4"/>
  <c r="F38" i="4"/>
  <c r="R37" i="4"/>
  <c r="N7" i="15" s="1"/>
  <c r="Q37" i="4"/>
  <c r="M7" i="15" s="1"/>
  <c r="P37" i="4"/>
  <c r="L7" i="15" s="1"/>
  <c r="O37" i="4"/>
  <c r="K7" i="15" s="1"/>
  <c r="N37" i="4"/>
  <c r="J7" i="15" s="1"/>
  <c r="L37" i="4"/>
  <c r="H7" i="15" s="1"/>
  <c r="K37" i="4"/>
  <c r="G7" i="15" s="1"/>
  <c r="J37" i="4"/>
  <c r="B36" i="4"/>
  <c r="A36" i="4"/>
  <c r="B35" i="4"/>
  <c r="A35" i="4"/>
  <c r="B34" i="4"/>
  <c r="A34" i="4"/>
  <c r="B33" i="4"/>
  <c r="A33" i="4"/>
  <c r="U32" i="4"/>
  <c r="S32" i="4"/>
  <c r="M32" i="4"/>
  <c r="B32" i="4"/>
  <c r="A32" i="4"/>
  <c r="U31" i="4"/>
  <c r="S31" i="4"/>
  <c r="A31" i="4"/>
  <c r="A30" i="4"/>
  <c r="U29" i="4"/>
  <c r="S29" i="4"/>
  <c r="B29" i="4"/>
  <c r="A29" i="4"/>
  <c r="U28" i="4"/>
  <c r="S28" i="4" s="1"/>
  <c r="A28" i="4"/>
  <c r="A27" i="4"/>
  <c r="U26" i="4"/>
  <c r="S26" i="4" s="1"/>
  <c r="B26" i="4"/>
  <c r="A26" i="4"/>
  <c r="U25" i="4"/>
  <c r="S25" i="4" s="1"/>
  <c r="M25" i="4"/>
  <c r="A25" i="4"/>
  <c r="B25" i="4" s="1"/>
  <c r="U24" i="4"/>
  <c r="M24" i="4" s="1"/>
  <c r="A24" i="4"/>
  <c r="B23" i="4"/>
  <c r="A23" i="4"/>
  <c r="A22" i="4"/>
  <c r="A21" i="4"/>
  <c r="U20" i="4"/>
  <c r="S20" i="4"/>
  <c r="M20" i="4"/>
  <c r="B20" i="4"/>
  <c r="A20" i="4"/>
  <c r="U19" i="4"/>
  <c r="V19" i="4" s="1"/>
  <c r="M19" i="4"/>
  <c r="G19" i="4"/>
  <c r="H19" i="4" s="1"/>
  <c r="A19" i="4"/>
  <c r="C19" i="4" s="1"/>
  <c r="U18" i="4"/>
  <c r="V18" i="4" s="1"/>
  <c r="S18" i="4"/>
  <c r="M18" i="4"/>
  <c r="G18" i="4"/>
  <c r="I18" i="4" s="1"/>
  <c r="F18" i="4"/>
  <c r="E18" i="4"/>
  <c r="A18" i="4"/>
  <c r="U17" i="4"/>
  <c r="M17" i="4" s="1"/>
  <c r="B17" i="4"/>
  <c r="A17" i="4"/>
  <c r="A16" i="4"/>
  <c r="A15" i="4"/>
  <c r="U14" i="4"/>
  <c r="S14" i="4" s="1"/>
  <c r="M14" i="4"/>
  <c r="B14" i="4"/>
  <c r="A14" i="4"/>
  <c r="U13" i="4"/>
  <c r="S13" i="4" s="1"/>
  <c r="M13" i="4"/>
  <c r="A13" i="4"/>
  <c r="A12" i="4"/>
  <c r="U11" i="4"/>
  <c r="V11" i="4" s="1"/>
  <c r="G11" i="4"/>
  <c r="H11" i="4" s="1"/>
  <c r="F11" i="4"/>
  <c r="B11" i="4"/>
  <c r="A11" i="4"/>
  <c r="E11" i="4" s="1"/>
  <c r="U10" i="4"/>
  <c r="A10" i="4"/>
  <c r="V9" i="4"/>
  <c r="S9" i="4"/>
  <c r="F9" i="4"/>
  <c r="E9" i="4"/>
  <c r="D9" i="4"/>
  <c r="A9" i="4"/>
  <c r="U9" i="4" s="1"/>
  <c r="M9" i="4" s="1"/>
  <c r="U8" i="4"/>
  <c r="M8" i="4" s="1"/>
  <c r="B8" i="4"/>
  <c r="A8" i="4"/>
  <c r="U7" i="4"/>
  <c r="S7" i="4" s="1"/>
  <c r="A7" i="4"/>
  <c r="B7" i="4" s="1"/>
  <c r="A6" i="4"/>
  <c r="I3" i="4"/>
  <c r="A2" i="4"/>
  <c r="F38" i="3"/>
  <c r="R37" i="3"/>
  <c r="Q37" i="3"/>
  <c r="G49" i="7" s="1"/>
  <c r="P37" i="3"/>
  <c r="L6" i="15" s="1"/>
  <c r="O37" i="3"/>
  <c r="K6" i="15" s="1"/>
  <c r="K18" i="15" s="1"/>
  <c r="N37" i="3"/>
  <c r="J6" i="15" s="1"/>
  <c r="J18" i="15" s="1"/>
  <c r="L37" i="3"/>
  <c r="H6" i="15" s="1"/>
  <c r="K37" i="3"/>
  <c r="G6" i="15" s="1"/>
  <c r="J37" i="3"/>
  <c r="U36" i="3"/>
  <c r="S36" i="3" s="1"/>
  <c r="G36" i="3"/>
  <c r="H36" i="3" s="1"/>
  <c r="B36" i="3"/>
  <c r="A36" i="3"/>
  <c r="A35" i="3"/>
  <c r="U34" i="3"/>
  <c r="S34" i="3"/>
  <c r="M34" i="3"/>
  <c r="B34" i="3"/>
  <c r="A34" i="3"/>
  <c r="U33" i="3"/>
  <c r="V33" i="3" s="1"/>
  <c r="S33" i="3"/>
  <c r="M33" i="3"/>
  <c r="A33" i="3"/>
  <c r="U32" i="3"/>
  <c r="V32" i="3" s="1"/>
  <c r="S32" i="3"/>
  <c r="M32" i="3"/>
  <c r="B32" i="3"/>
  <c r="A32" i="3"/>
  <c r="A31" i="3"/>
  <c r="A30" i="3"/>
  <c r="A29" i="3"/>
  <c r="B29" i="3" s="1"/>
  <c r="U28" i="3"/>
  <c r="S28" i="3" s="1"/>
  <c r="B28" i="3"/>
  <c r="A28" i="3"/>
  <c r="U27" i="3"/>
  <c r="M27" i="3" s="1"/>
  <c r="S27" i="3"/>
  <c r="A27" i="3"/>
  <c r="U26" i="3"/>
  <c r="S26" i="3"/>
  <c r="M26" i="3"/>
  <c r="A26" i="3"/>
  <c r="A25" i="3"/>
  <c r="B25" i="3" s="1"/>
  <c r="U24" i="3"/>
  <c r="S24" i="3" s="1"/>
  <c r="A24" i="3"/>
  <c r="A23" i="3"/>
  <c r="U22" i="3"/>
  <c r="E22" i="3" s="1"/>
  <c r="S22" i="3"/>
  <c r="M22" i="3"/>
  <c r="G22" i="3"/>
  <c r="I22" i="3" s="1"/>
  <c r="F22" i="3"/>
  <c r="D22" i="3"/>
  <c r="B22" i="3"/>
  <c r="A22" i="3"/>
  <c r="U21" i="3"/>
  <c r="V21" i="3" s="1"/>
  <c r="S21" i="3"/>
  <c r="M21" i="3"/>
  <c r="G21" i="3"/>
  <c r="I21" i="3" s="1"/>
  <c r="E21" i="3"/>
  <c r="D21" i="3"/>
  <c r="A21" i="3"/>
  <c r="U20" i="3"/>
  <c r="V20" i="3" s="1"/>
  <c r="S20" i="3"/>
  <c r="M20" i="3"/>
  <c r="B20" i="3"/>
  <c r="A20" i="3"/>
  <c r="A19" i="3"/>
  <c r="A18" i="3"/>
  <c r="A17" i="3"/>
  <c r="U16" i="3"/>
  <c r="S16" i="3" s="1"/>
  <c r="B16" i="3"/>
  <c r="A16" i="3"/>
  <c r="U15" i="3"/>
  <c r="M15" i="3" s="1"/>
  <c r="S15" i="3"/>
  <c r="A15" i="3"/>
  <c r="C15" i="3" s="1"/>
  <c r="U14" i="3"/>
  <c r="S14" i="3"/>
  <c r="M14" i="3"/>
  <c r="A14" i="3"/>
  <c r="C14" i="3" s="1"/>
  <c r="A13" i="3"/>
  <c r="U13" i="3" s="1"/>
  <c r="U12" i="3"/>
  <c r="S12" i="3" s="1"/>
  <c r="A12" i="3"/>
  <c r="A11" i="3"/>
  <c r="B11" i="3" s="1"/>
  <c r="U10" i="3"/>
  <c r="S10" i="3"/>
  <c r="M10" i="3"/>
  <c r="B10" i="3"/>
  <c r="A10" i="3"/>
  <c r="U9" i="3"/>
  <c r="V9" i="3" s="1"/>
  <c r="S9" i="3"/>
  <c r="M9" i="3"/>
  <c r="A9" i="3"/>
  <c r="U8" i="3"/>
  <c r="V8" i="3" s="1"/>
  <c r="S8" i="3"/>
  <c r="M8" i="3"/>
  <c r="I8" i="3"/>
  <c r="H8" i="3"/>
  <c r="G8" i="3"/>
  <c r="E8" i="3"/>
  <c r="D8" i="3"/>
  <c r="B8" i="3"/>
  <c r="A8" i="3"/>
  <c r="A7" i="3"/>
  <c r="A6" i="3"/>
  <c r="I3" i="3"/>
  <c r="A2" i="3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22" i="1"/>
  <c r="C13" i="1"/>
  <c r="F12" i="4" l="1"/>
  <c r="D20" i="3"/>
  <c r="E20" i="3"/>
  <c r="I29" i="6"/>
  <c r="H29" i="6"/>
  <c r="V31" i="4"/>
  <c r="D32" i="3"/>
  <c r="E32" i="3"/>
  <c r="D9" i="3"/>
  <c r="E9" i="3"/>
  <c r="V10" i="4"/>
  <c r="M13" i="3"/>
  <c r="V13" i="3" s="1"/>
  <c r="S13" i="3"/>
  <c r="S8" i="6"/>
  <c r="M8" i="6"/>
  <c r="M15" i="6"/>
  <c r="S15" i="6"/>
  <c r="E33" i="3"/>
  <c r="D33" i="3"/>
  <c r="S17" i="5"/>
  <c r="M17" i="5"/>
  <c r="G7" i="3"/>
  <c r="F26" i="3"/>
  <c r="U7" i="5"/>
  <c r="M29" i="4"/>
  <c r="B7" i="5"/>
  <c r="B6" i="3"/>
  <c r="G32" i="4"/>
  <c r="D32" i="4"/>
  <c r="I11" i="5"/>
  <c r="F20" i="5"/>
  <c r="I36" i="5"/>
  <c r="H36" i="5"/>
  <c r="B8" i="6"/>
  <c r="M10" i="6"/>
  <c r="V10" i="6" s="1"/>
  <c r="F10" i="6" s="1"/>
  <c r="B8" i="7"/>
  <c r="U8" i="7"/>
  <c r="S14" i="7"/>
  <c r="M14" i="7"/>
  <c r="G14" i="7"/>
  <c r="F21" i="15"/>
  <c r="F23" i="15" s="1"/>
  <c r="A49" i="14"/>
  <c r="A49" i="13"/>
  <c r="A49" i="8"/>
  <c r="A49" i="12"/>
  <c r="A49" i="11"/>
  <c r="A49" i="10"/>
  <c r="A49" i="9"/>
  <c r="A49" i="7"/>
  <c r="M12" i="3"/>
  <c r="V14" i="3"/>
  <c r="B17" i="3"/>
  <c r="H21" i="3"/>
  <c r="H22" i="3"/>
  <c r="M24" i="3"/>
  <c r="U25" i="3"/>
  <c r="V26" i="3"/>
  <c r="G28" i="3"/>
  <c r="E28" i="3"/>
  <c r="M36" i="3"/>
  <c r="I11" i="4"/>
  <c r="U12" i="4"/>
  <c r="V13" i="4"/>
  <c r="B15" i="4"/>
  <c r="H18" i="4"/>
  <c r="S19" i="4"/>
  <c r="D20" i="4"/>
  <c r="B22" i="4"/>
  <c r="S24" i="4"/>
  <c r="M28" i="4"/>
  <c r="B30" i="4"/>
  <c r="M31" i="4"/>
  <c r="U33" i="4"/>
  <c r="E33" i="4"/>
  <c r="C36" i="4"/>
  <c r="V36" i="4"/>
  <c r="S11" i="5"/>
  <c r="F19" i="5"/>
  <c r="U19" i="5"/>
  <c r="M21" i="5"/>
  <c r="C21" i="5"/>
  <c r="S23" i="5"/>
  <c r="M23" i="5"/>
  <c r="V23" i="5" s="1"/>
  <c r="C27" i="5"/>
  <c r="G27" i="5" s="1"/>
  <c r="U8" i="11"/>
  <c r="B8" i="11"/>
  <c r="U10" i="5"/>
  <c r="V28" i="3"/>
  <c r="I36" i="3"/>
  <c r="S8" i="5"/>
  <c r="M8" i="5"/>
  <c r="V8" i="5" s="1"/>
  <c r="V24" i="3"/>
  <c r="B16" i="5"/>
  <c r="G25" i="5"/>
  <c r="U11" i="6"/>
  <c r="B11" i="6"/>
  <c r="F29" i="6"/>
  <c r="D29" i="6"/>
  <c r="C29" i="6"/>
  <c r="S29" i="6"/>
  <c r="M29" i="6"/>
  <c r="E29" i="6"/>
  <c r="B17" i="5"/>
  <c r="F8" i="6"/>
  <c r="E8" i="6"/>
  <c r="D8" i="6"/>
  <c r="C8" i="6"/>
  <c r="V8" i="6"/>
  <c r="G8" i="6"/>
  <c r="F29" i="3"/>
  <c r="N6" i="15"/>
  <c r="N18" i="15" s="1"/>
  <c r="F25" i="15" s="1"/>
  <c r="M49" i="14"/>
  <c r="M49" i="13"/>
  <c r="M49" i="12"/>
  <c r="M49" i="11"/>
  <c r="M49" i="7"/>
  <c r="M49" i="9"/>
  <c r="M49" i="10"/>
  <c r="M49" i="6"/>
  <c r="M49" i="3"/>
  <c r="B9" i="5"/>
  <c r="B13" i="4"/>
  <c r="V20" i="4"/>
  <c r="C25" i="4"/>
  <c r="D26" i="4"/>
  <c r="D6" i="5"/>
  <c r="G6" i="5" s="1"/>
  <c r="V17" i="5"/>
  <c r="E17" i="5" s="1"/>
  <c r="S21" i="6"/>
  <c r="V21" i="6"/>
  <c r="B29" i="8"/>
  <c r="U29" i="8"/>
  <c r="V26" i="5"/>
  <c r="M6" i="15"/>
  <c r="M18" i="15" s="1"/>
  <c r="F24" i="15" s="1"/>
  <c r="G49" i="14"/>
  <c r="G49" i="13"/>
  <c r="G49" i="12"/>
  <c r="G49" i="11"/>
  <c r="G49" i="10"/>
  <c r="G49" i="9"/>
  <c r="G49" i="6"/>
  <c r="G49" i="8"/>
  <c r="U21" i="4"/>
  <c r="C16" i="6"/>
  <c r="G16" i="6"/>
  <c r="F16" i="6"/>
  <c r="E16" i="6"/>
  <c r="V16" i="6"/>
  <c r="V36" i="3"/>
  <c r="E10" i="3"/>
  <c r="D15" i="3"/>
  <c r="E24" i="3"/>
  <c r="C26" i="3"/>
  <c r="G26" i="3" s="1"/>
  <c r="F28" i="3"/>
  <c r="E36" i="3"/>
  <c r="M7" i="4"/>
  <c r="S8" i="4"/>
  <c r="B12" i="4"/>
  <c r="C13" i="4"/>
  <c r="G13" i="4" s="1"/>
  <c r="D14" i="4"/>
  <c r="S17" i="4"/>
  <c r="D25" i="4"/>
  <c r="E26" i="4"/>
  <c r="V32" i="4"/>
  <c r="G33" i="4"/>
  <c r="D35" i="4"/>
  <c r="U35" i="4"/>
  <c r="C12" i="5"/>
  <c r="G19" i="5"/>
  <c r="S20" i="5"/>
  <c r="C20" i="5"/>
  <c r="G20" i="5" s="1"/>
  <c r="C24" i="5"/>
  <c r="E26" i="5"/>
  <c r="C26" i="5"/>
  <c r="B26" i="5"/>
  <c r="V27" i="5"/>
  <c r="E27" i="5" s="1"/>
  <c r="B9" i="6"/>
  <c r="U16" i="6"/>
  <c r="M35" i="6"/>
  <c r="S35" i="6"/>
  <c r="H6" i="7"/>
  <c r="I6" i="7"/>
  <c r="M49" i="8"/>
  <c r="B16" i="4"/>
  <c r="B25" i="5"/>
  <c r="S7" i="7"/>
  <c r="G7" i="7"/>
  <c r="F7" i="7"/>
  <c r="D7" i="7"/>
  <c r="V15" i="3"/>
  <c r="V25" i="4"/>
  <c r="V29" i="4"/>
  <c r="F29" i="4" s="1"/>
  <c r="V12" i="3"/>
  <c r="S10" i="4"/>
  <c r="M10" i="4"/>
  <c r="U35" i="3"/>
  <c r="E35" i="3" s="1"/>
  <c r="A49" i="3"/>
  <c r="D12" i="5"/>
  <c r="V30" i="5"/>
  <c r="E30" i="5" s="1"/>
  <c r="I33" i="5"/>
  <c r="H33" i="5"/>
  <c r="A49" i="5"/>
  <c r="U7" i="6"/>
  <c r="U12" i="6"/>
  <c r="M27" i="6"/>
  <c r="S27" i="6"/>
  <c r="M9" i="7"/>
  <c r="V14" i="4"/>
  <c r="C14" i="4" s="1"/>
  <c r="U23" i="3"/>
  <c r="D26" i="3"/>
  <c r="C20" i="4"/>
  <c r="G20" i="4" s="1"/>
  <c r="E25" i="4"/>
  <c r="D26" i="5"/>
  <c r="V10" i="3"/>
  <c r="C24" i="3"/>
  <c r="U31" i="3"/>
  <c r="U6" i="4"/>
  <c r="E13" i="4"/>
  <c r="V17" i="4"/>
  <c r="F25" i="4"/>
  <c r="E28" i="4"/>
  <c r="D28" i="4"/>
  <c r="C28" i="4"/>
  <c r="U30" i="4"/>
  <c r="C35" i="4"/>
  <c r="B8" i="5"/>
  <c r="C11" i="5"/>
  <c r="E12" i="5"/>
  <c r="D15" i="5"/>
  <c r="E15" i="5"/>
  <c r="C15" i="5"/>
  <c r="G15" i="5" s="1"/>
  <c r="F26" i="5"/>
  <c r="B28" i="5"/>
  <c r="G49" i="5"/>
  <c r="B7" i="6"/>
  <c r="B12" i="6"/>
  <c r="U20" i="6"/>
  <c r="V35" i="6"/>
  <c r="B10" i="7"/>
  <c r="U19" i="7"/>
  <c r="V21" i="7"/>
  <c r="S21" i="7"/>
  <c r="M21" i="7"/>
  <c r="D21" i="7"/>
  <c r="B10" i="5"/>
  <c r="C7" i="3"/>
  <c r="V27" i="3"/>
  <c r="D27" i="3" s="1"/>
  <c r="E27" i="3"/>
  <c r="B27" i="3"/>
  <c r="V28" i="4"/>
  <c r="D24" i="5"/>
  <c r="V22" i="3"/>
  <c r="B35" i="3"/>
  <c r="C36" i="3"/>
  <c r="G49" i="3"/>
  <c r="V7" i="4"/>
  <c r="C11" i="4"/>
  <c r="C32" i="4"/>
  <c r="B21" i="3"/>
  <c r="F21" i="3"/>
  <c r="F20" i="4"/>
  <c r="E35" i="4"/>
  <c r="B15" i="5"/>
  <c r="U16" i="5"/>
  <c r="F21" i="5"/>
  <c r="G26" i="5"/>
  <c r="E32" i="5"/>
  <c r="C32" i="5"/>
  <c r="B32" i="5"/>
  <c r="V32" i="5"/>
  <c r="U32" i="5"/>
  <c r="G32" i="5"/>
  <c r="M49" i="5"/>
  <c r="U9" i="6"/>
  <c r="M17" i="6"/>
  <c r="V17" i="6" s="1"/>
  <c r="B20" i="6"/>
  <c r="F36" i="6"/>
  <c r="G36" i="6"/>
  <c r="E36" i="6"/>
  <c r="D36" i="6"/>
  <c r="C36" i="6"/>
  <c r="B36" i="6"/>
  <c r="B19" i="7"/>
  <c r="F7" i="3"/>
  <c r="U25" i="5"/>
  <c r="C25" i="5" s="1"/>
  <c r="F25" i="5"/>
  <c r="D15" i="6"/>
  <c r="G15" i="6"/>
  <c r="F15" i="6"/>
  <c r="E15" i="6"/>
  <c r="C15" i="6"/>
  <c r="V15" i="6"/>
  <c r="B15" i="6"/>
  <c r="S36" i="6"/>
  <c r="M36" i="6"/>
  <c r="B7" i="3"/>
  <c r="B19" i="3"/>
  <c r="B31" i="3"/>
  <c r="B6" i="4"/>
  <c r="I19" i="4"/>
  <c r="U27" i="4"/>
  <c r="B27" i="4"/>
  <c r="B14" i="5"/>
  <c r="B29" i="5"/>
  <c r="U29" i="5"/>
  <c r="F6" i="6"/>
  <c r="E6" i="6"/>
  <c r="D6" i="6"/>
  <c r="C6" i="6"/>
  <c r="H16" i="9"/>
  <c r="I16" i="9"/>
  <c r="B18" i="3"/>
  <c r="B30" i="3"/>
  <c r="U15" i="4"/>
  <c r="E15" i="3"/>
  <c r="C29" i="3"/>
  <c r="M11" i="4"/>
  <c r="S11" i="4"/>
  <c r="U9" i="5"/>
  <c r="B24" i="6"/>
  <c r="U24" i="6"/>
  <c r="E14" i="3"/>
  <c r="B15" i="3"/>
  <c r="E26" i="3"/>
  <c r="C28" i="3"/>
  <c r="B21" i="4"/>
  <c r="C26" i="4"/>
  <c r="B14" i="3"/>
  <c r="B26" i="3"/>
  <c r="C27" i="3"/>
  <c r="D28" i="3"/>
  <c r="B13" i="3"/>
  <c r="F16" i="3"/>
  <c r="U11" i="3"/>
  <c r="B12" i="3"/>
  <c r="D14" i="3"/>
  <c r="F15" i="3"/>
  <c r="B24" i="3"/>
  <c r="C12" i="4"/>
  <c r="D13" i="4"/>
  <c r="B19" i="4"/>
  <c r="D19" i="4"/>
  <c r="C24" i="4"/>
  <c r="V24" i="4"/>
  <c r="F24" i="4" s="1"/>
  <c r="F26" i="4"/>
  <c r="B11" i="5"/>
  <c r="V11" i="5"/>
  <c r="U14" i="5"/>
  <c r="U28" i="5"/>
  <c r="U7" i="3"/>
  <c r="V7" i="3" s="1"/>
  <c r="F14" i="3"/>
  <c r="G15" i="3"/>
  <c r="U19" i="3"/>
  <c r="B23" i="3"/>
  <c r="V34" i="3"/>
  <c r="B10" i="4"/>
  <c r="D12" i="4"/>
  <c r="F14" i="4"/>
  <c r="U16" i="4"/>
  <c r="E20" i="4"/>
  <c r="U22" i="4"/>
  <c r="B24" i="4"/>
  <c r="U6" i="3"/>
  <c r="D6" i="3" s="1"/>
  <c r="B9" i="3"/>
  <c r="F9" i="3"/>
  <c r="D12" i="3"/>
  <c r="G14" i="3"/>
  <c r="M16" i="3"/>
  <c r="V16" i="3" s="1"/>
  <c r="U18" i="3"/>
  <c r="D24" i="3"/>
  <c r="M28" i="3"/>
  <c r="U30" i="3"/>
  <c r="B33" i="3"/>
  <c r="F33" i="3"/>
  <c r="D36" i="3"/>
  <c r="V8" i="4"/>
  <c r="B9" i="4"/>
  <c r="D11" i="4"/>
  <c r="E12" i="4"/>
  <c r="F13" i="4"/>
  <c r="C18" i="4"/>
  <c r="B18" i="4"/>
  <c r="E19" i="4"/>
  <c r="D24" i="4"/>
  <c r="G25" i="4"/>
  <c r="B28" i="4"/>
  <c r="E32" i="4"/>
  <c r="V33" i="4"/>
  <c r="F12" i="5"/>
  <c r="V6" i="3"/>
  <c r="C8" i="3"/>
  <c r="F8" i="3"/>
  <c r="C9" i="3"/>
  <c r="G9" i="3" s="1"/>
  <c r="C10" i="3"/>
  <c r="U17" i="3"/>
  <c r="C20" i="3"/>
  <c r="F20" i="3"/>
  <c r="C21" i="3"/>
  <c r="C22" i="3"/>
  <c r="F24" i="3"/>
  <c r="U29" i="3"/>
  <c r="D29" i="3" s="1"/>
  <c r="C32" i="3"/>
  <c r="F32" i="3"/>
  <c r="C33" i="3"/>
  <c r="F36" i="3"/>
  <c r="H18" i="15"/>
  <c r="C9" i="4"/>
  <c r="G9" i="4" s="1"/>
  <c r="D18" i="4"/>
  <c r="F19" i="4"/>
  <c r="U23" i="4"/>
  <c r="M26" i="4"/>
  <c r="F28" i="4"/>
  <c r="B31" i="4"/>
  <c r="D31" i="4"/>
  <c r="F32" i="4"/>
  <c r="E34" i="4"/>
  <c r="U34" i="4"/>
  <c r="G34" i="4"/>
  <c r="F35" i="4"/>
  <c r="U36" i="4"/>
  <c r="F36" i="4" s="1"/>
  <c r="A49" i="4"/>
  <c r="F6" i="5"/>
  <c r="C6" i="5"/>
  <c r="E11" i="5"/>
  <c r="F15" i="5"/>
  <c r="V19" i="5"/>
  <c r="B23" i="5"/>
  <c r="D23" i="5"/>
  <c r="M26" i="5"/>
  <c r="D32" i="5"/>
  <c r="U14" i="6"/>
  <c r="S17" i="6"/>
  <c r="D28" i="6"/>
  <c r="C28" i="6"/>
  <c r="S28" i="6"/>
  <c r="M28" i="6"/>
  <c r="V28" i="6" s="1"/>
  <c r="E28" i="6" s="1"/>
  <c r="G28" i="6" s="1"/>
  <c r="F28" i="6"/>
  <c r="A49" i="6"/>
  <c r="U10" i="7"/>
  <c r="E21" i="7"/>
  <c r="B28" i="7"/>
  <c r="V28" i="7"/>
  <c r="U28" i="7"/>
  <c r="G28" i="7"/>
  <c r="M6" i="8"/>
  <c r="S6" i="8"/>
  <c r="U22" i="5"/>
  <c r="D27" i="5"/>
  <c r="U31" i="5"/>
  <c r="U18" i="6"/>
  <c r="B18" i="6"/>
  <c r="U23" i="6"/>
  <c r="G23" i="6" s="1"/>
  <c r="U26" i="6"/>
  <c r="U33" i="6"/>
  <c r="U27" i="7"/>
  <c r="E27" i="7" s="1"/>
  <c r="B27" i="7"/>
  <c r="S31" i="7"/>
  <c r="M31" i="7"/>
  <c r="V34" i="7"/>
  <c r="B34" i="7"/>
  <c r="U34" i="7"/>
  <c r="F34" i="7" s="1"/>
  <c r="E34" i="7"/>
  <c r="C34" i="7"/>
  <c r="G10" i="8"/>
  <c r="M10" i="8"/>
  <c r="E10" i="8"/>
  <c r="D10" i="8"/>
  <c r="C10" i="8"/>
  <c r="G18" i="15"/>
  <c r="F22" i="15" s="1"/>
  <c r="D17" i="4"/>
  <c r="D29" i="4"/>
  <c r="B22" i="5"/>
  <c r="F24" i="5"/>
  <c r="G24" i="5" s="1"/>
  <c r="B27" i="5"/>
  <c r="B31" i="5"/>
  <c r="B35" i="5"/>
  <c r="U35" i="5"/>
  <c r="F13" i="6"/>
  <c r="E13" i="6"/>
  <c r="C13" i="6"/>
  <c r="G13" i="6" s="1"/>
  <c r="V13" i="6"/>
  <c r="D13" i="6" s="1"/>
  <c r="V22" i="6"/>
  <c r="B26" i="6"/>
  <c r="B33" i="6"/>
  <c r="V34" i="6"/>
  <c r="M34" i="6"/>
  <c r="V22" i="7"/>
  <c r="F22" i="7" s="1"/>
  <c r="U32" i="7"/>
  <c r="V10" i="8"/>
  <c r="C12" i="8"/>
  <c r="G12" i="8" s="1"/>
  <c r="E12" i="8"/>
  <c r="B20" i="8"/>
  <c r="U20" i="8"/>
  <c r="S22" i="8"/>
  <c r="M22" i="8"/>
  <c r="V22" i="8" s="1"/>
  <c r="U21" i="11"/>
  <c r="B21" i="11"/>
  <c r="V26" i="4"/>
  <c r="U13" i="5"/>
  <c r="E20" i="5"/>
  <c r="B20" i="5"/>
  <c r="S24" i="5"/>
  <c r="F27" i="5"/>
  <c r="G22" i="6"/>
  <c r="U11" i="7"/>
  <c r="S17" i="7"/>
  <c r="S23" i="7"/>
  <c r="M23" i="7"/>
  <c r="V23" i="7" s="1"/>
  <c r="F23" i="7"/>
  <c r="C35" i="7"/>
  <c r="M26" i="8"/>
  <c r="V26" i="8" s="1"/>
  <c r="S26" i="8"/>
  <c r="M21" i="9"/>
  <c r="V21" i="9"/>
  <c r="C21" i="9" s="1"/>
  <c r="S21" i="9"/>
  <c r="V12" i="5"/>
  <c r="G18" i="5"/>
  <c r="D18" i="5"/>
  <c r="B10" i="6"/>
  <c r="U19" i="6"/>
  <c r="M22" i="6"/>
  <c r="S31" i="6"/>
  <c r="G31" i="6"/>
  <c r="E31" i="6"/>
  <c r="B11" i="7"/>
  <c r="C8" i="8"/>
  <c r="G11" i="8"/>
  <c r="S11" i="8"/>
  <c r="F11" i="8"/>
  <c r="D11" i="8"/>
  <c r="C11" i="8"/>
  <c r="M18" i="8"/>
  <c r="F18" i="8"/>
  <c r="D18" i="8"/>
  <c r="G18" i="8"/>
  <c r="E18" i="8"/>
  <c r="C18" i="8"/>
  <c r="V10" i="9"/>
  <c r="U10" i="9"/>
  <c r="U24" i="7"/>
  <c r="V26" i="7"/>
  <c r="C26" i="7" s="1"/>
  <c r="G26" i="7" s="1"/>
  <c r="V9" i="8"/>
  <c r="S9" i="8"/>
  <c r="U31" i="9"/>
  <c r="U25" i="6"/>
  <c r="V27" i="6"/>
  <c r="E27" i="6" s="1"/>
  <c r="U30" i="6"/>
  <c r="E30" i="6" s="1"/>
  <c r="F30" i="6"/>
  <c r="C30" i="6"/>
  <c r="G30" i="6"/>
  <c r="D30" i="6"/>
  <c r="B30" i="6"/>
  <c r="U32" i="6"/>
  <c r="H20" i="7"/>
  <c r="I20" i="7"/>
  <c r="B24" i="7"/>
  <c r="S18" i="9"/>
  <c r="M18" i="9"/>
  <c r="V18" i="9" s="1"/>
  <c r="M18" i="7"/>
  <c r="V18" i="7" s="1"/>
  <c r="S18" i="7"/>
  <c r="S35" i="7"/>
  <c r="M35" i="7"/>
  <c r="F15" i="8"/>
  <c r="D15" i="8"/>
  <c r="S15" i="8"/>
  <c r="C15" i="8"/>
  <c r="M28" i="9"/>
  <c r="V28" i="9" s="1"/>
  <c r="L18" i="15"/>
  <c r="G26" i="4"/>
  <c r="G12" i="5"/>
  <c r="F31" i="6"/>
  <c r="D31" i="6"/>
  <c r="V9" i="7"/>
  <c r="V17" i="7"/>
  <c r="C17" i="7" s="1"/>
  <c r="B17" i="7"/>
  <c r="B23" i="7"/>
  <c r="M25" i="7"/>
  <c r="V25" i="7" s="1"/>
  <c r="E14" i="8"/>
  <c r="G14" i="8" s="1"/>
  <c r="V21" i="8"/>
  <c r="D21" i="8" s="1"/>
  <c r="U23" i="8"/>
  <c r="M16" i="9"/>
  <c r="F16" i="9"/>
  <c r="E16" i="9"/>
  <c r="S16" i="9"/>
  <c r="U25" i="10"/>
  <c r="B25" i="10"/>
  <c r="B14" i="7"/>
  <c r="V14" i="7"/>
  <c r="U30" i="7"/>
  <c r="F36" i="7"/>
  <c r="V36" i="7"/>
  <c r="C36" i="7"/>
  <c r="F16" i="8"/>
  <c r="D16" i="8"/>
  <c r="G16" i="8" s="1"/>
  <c r="G31" i="8"/>
  <c r="D31" i="8"/>
  <c r="V31" i="8"/>
  <c r="M31" i="8"/>
  <c r="F31" i="8"/>
  <c r="M33" i="8"/>
  <c r="V33" i="8" s="1"/>
  <c r="F33" i="8" s="1"/>
  <c r="E13" i="9"/>
  <c r="V21" i="5"/>
  <c r="E21" i="5" s="1"/>
  <c r="V33" i="5"/>
  <c r="U34" i="5"/>
  <c r="F22" i="6"/>
  <c r="V29" i="6"/>
  <c r="C14" i="7"/>
  <c r="B30" i="7"/>
  <c r="V33" i="7"/>
  <c r="C33" i="7" s="1"/>
  <c r="E33" i="7"/>
  <c r="B36" i="7"/>
  <c r="D13" i="8"/>
  <c r="F13" i="8"/>
  <c r="F21" i="8"/>
  <c r="F32" i="8"/>
  <c r="B32" i="8"/>
  <c r="U32" i="8"/>
  <c r="B20" i="9"/>
  <c r="U20" i="9"/>
  <c r="S11" i="10"/>
  <c r="M11" i="10"/>
  <c r="F11" i="10"/>
  <c r="V34" i="5"/>
  <c r="V7" i="7"/>
  <c r="E7" i="7"/>
  <c r="C13" i="7"/>
  <c r="U13" i="7"/>
  <c r="D14" i="7"/>
  <c r="G21" i="7"/>
  <c r="F21" i="7"/>
  <c r="D26" i="7"/>
  <c r="F26" i="7"/>
  <c r="B26" i="7"/>
  <c r="V29" i="7"/>
  <c r="D36" i="7"/>
  <c r="S21" i="8"/>
  <c r="F30" i="8"/>
  <c r="V30" i="8"/>
  <c r="E30" i="8" s="1"/>
  <c r="U34" i="8"/>
  <c r="B34" i="8"/>
  <c r="V7" i="9"/>
  <c r="F7" i="9" s="1"/>
  <c r="I15" i="9"/>
  <c r="H15" i="9"/>
  <c r="S7" i="10"/>
  <c r="M7" i="10"/>
  <c r="V7" i="10" s="1"/>
  <c r="H9" i="11"/>
  <c r="I9" i="11"/>
  <c r="C27" i="6"/>
  <c r="E14" i="7"/>
  <c r="E36" i="7"/>
  <c r="S7" i="8"/>
  <c r="M7" i="8"/>
  <c r="V7" i="8" s="1"/>
  <c r="U24" i="8"/>
  <c r="B8" i="10"/>
  <c r="U8" i="10"/>
  <c r="E13" i="10"/>
  <c r="C13" i="10"/>
  <c r="B13" i="10"/>
  <c r="D13" i="10"/>
  <c r="U13" i="10"/>
  <c r="G13" i="10" s="1"/>
  <c r="F13" i="10"/>
  <c r="B21" i="6"/>
  <c r="D22" i="6"/>
  <c r="B27" i="6"/>
  <c r="V6" i="7"/>
  <c r="D6" i="7"/>
  <c r="C7" i="7"/>
  <c r="V12" i="7"/>
  <c r="D13" i="7"/>
  <c r="F14" i="7"/>
  <c r="V20" i="7"/>
  <c r="E20" i="7"/>
  <c r="C21" i="7"/>
  <c r="E26" i="7"/>
  <c r="D33" i="7"/>
  <c r="G35" i="7"/>
  <c r="V35" i="7"/>
  <c r="E35" i="7"/>
  <c r="G36" i="7"/>
  <c r="F22" i="8"/>
  <c r="E22" i="8"/>
  <c r="D22" i="8"/>
  <c r="C22" i="8"/>
  <c r="B24" i="8"/>
  <c r="G32" i="8"/>
  <c r="S36" i="8"/>
  <c r="E36" i="8"/>
  <c r="G36" i="8"/>
  <c r="D7" i="9"/>
  <c r="B28" i="6"/>
  <c r="V15" i="7"/>
  <c r="U16" i="7"/>
  <c r="F8" i="9"/>
  <c r="V8" i="9"/>
  <c r="G8" i="9"/>
  <c r="D8" i="9"/>
  <c r="B8" i="9"/>
  <c r="U35" i="9"/>
  <c r="B35" i="9"/>
  <c r="M27" i="8"/>
  <c r="V27" i="8" s="1"/>
  <c r="S27" i="8"/>
  <c r="S17" i="9"/>
  <c r="M17" i="9"/>
  <c r="V17" i="9" s="1"/>
  <c r="F17" i="9" s="1"/>
  <c r="S27" i="9"/>
  <c r="V27" i="9"/>
  <c r="F27" i="9" s="1"/>
  <c r="M29" i="9"/>
  <c r="G29" i="9"/>
  <c r="F29" i="9"/>
  <c r="D29" i="9"/>
  <c r="S29" i="9"/>
  <c r="B22" i="11"/>
  <c r="B36" i="9"/>
  <c r="U36" i="9"/>
  <c r="M22" i="11"/>
  <c r="V22" i="11" s="1"/>
  <c r="S22" i="11"/>
  <c r="C25" i="8"/>
  <c r="U25" i="8"/>
  <c r="D25" i="8" s="1"/>
  <c r="U11" i="9"/>
  <c r="B11" i="9"/>
  <c r="S22" i="9"/>
  <c r="G22" i="9"/>
  <c r="F22" i="9"/>
  <c r="E22" i="9"/>
  <c r="V22" i="9"/>
  <c r="M22" i="9"/>
  <c r="M33" i="9"/>
  <c r="V33" i="9" s="1"/>
  <c r="C33" i="9" s="1"/>
  <c r="G33" i="9" s="1"/>
  <c r="D33" i="9"/>
  <c r="S33" i="9"/>
  <c r="H16" i="11"/>
  <c r="I16" i="11"/>
  <c r="D19" i="8"/>
  <c r="F19" i="8"/>
  <c r="B25" i="8"/>
  <c r="U35" i="8"/>
  <c r="E9" i="9"/>
  <c r="V9" i="9"/>
  <c r="U9" i="9"/>
  <c r="D9" i="9" s="1"/>
  <c r="B18" i="9"/>
  <c r="C23" i="9"/>
  <c r="D23" i="9"/>
  <c r="U23" i="9"/>
  <c r="F33" i="9"/>
  <c r="U15" i="10"/>
  <c r="B15" i="10"/>
  <c r="V31" i="7"/>
  <c r="C31" i="7" s="1"/>
  <c r="F8" i="8"/>
  <c r="S17" i="8"/>
  <c r="F17" i="8"/>
  <c r="D17" i="8"/>
  <c r="D36" i="8"/>
  <c r="F36" i="8"/>
  <c r="V36" i="8"/>
  <c r="V6" i="9"/>
  <c r="B6" i="9"/>
  <c r="B24" i="9"/>
  <c r="U24" i="9"/>
  <c r="V27" i="11"/>
  <c r="S27" i="11"/>
  <c r="C17" i="9"/>
  <c r="U19" i="9"/>
  <c r="C30" i="9"/>
  <c r="U30" i="9"/>
  <c r="G30" i="9"/>
  <c r="D30" i="9"/>
  <c r="B27" i="10"/>
  <c r="U27" i="10"/>
  <c r="S9" i="10"/>
  <c r="S34" i="9"/>
  <c r="V30" i="9"/>
  <c r="V34" i="9"/>
  <c r="D34" i="9" s="1"/>
  <c r="M31" i="10"/>
  <c r="S31" i="10"/>
  <c r="V17" i="10"/>
  <c r="D17" i="10" s="1"/>
  <c r="S18" i="11"/>
  <c r="M18" i="11"/>
  <c r="V18" i="11" s="1"/>
  <c r="S28" i="11"/>
  <c r="M28" i="11"/>
  <c r="V28" i="11" s="1"/>
  <c r="S9" i="12"/>
  <c r="M9" i="12"/>
  <c r="E9" i="12"/>
  <c r="D9" i="12"/>
  <c r="F10" i="8"/>
  <c r="E11" i="8"/>
  <c r="D12" i="8"/>
  <c r="C13" i="8"/>
  <c r="G13" i="8" s="1"/>
  <c r="V15" i="8"/>
  <c r="E15" i="8" s="1"/>
  <c r="E19" i="8"/>
  <c r="G19" i="8" s="1"/>
  <c r="E31" i="8"/>
  <c r="C16" i="9"/>
  <c r="D16" i="9"/>
  <c r="D22" i="9"/>
  <c r="C22" i="9"/>
  <c r="C29" i="9"/>
  <c r="E29" i="9"/>
  <c r="B10" i="10"/>
  <c r="U10" i="10"/>
  <c r="U11" i="11"/>
  <c r="B11" i="11"/>
  <c r="I30" i="11"/>
  <c r="H30" i="11"/>
  <c r="U6" i="12"/>
  <c r="C13" i="9"/>
  <c r="C15" i="9"/>
  <c r="B15" i="9"/>
  <c r="E21" i="9"/>
  <c r="M25" i="9"/>
  <c r="V25" i="9" s="1"/>
  <c r="U32" i="9"/>
  <c r="C34" i="9"/>
  <c r="B34" i="9"/>
  <c r="U12" i="10"/>
  <c r="F12" i="10"/>
  <c r="D12" i="10"/>
  <c r="G12" i="10"/>
  <c r="B34" i="10"/>
  <c r="U34" i="10"/>
  <c r="F34" i="10" s="1"/>
  <c r="V34" i="10"/>
  <c r="G34" i="10"/>
  <c r="D34" i="10"/>
  <c r="V16" i="11"/>
  <c r="F16" i="11"/>
  <c r="S16" i="11"/>
  <c r="M16" i="11"/>
  <c r="I21" i="12"/>
  <c r="H21" i="12"/>
  <c r="U28" i="8"/>
  <c r="D15" i="9"/>
  <c r="B21" i="9"/>
  <c r="B28" i="9"/>
  <c r="E34" i="9"/>
  <c r="B12" i="10"/>
  <c r="H19" i="10"/>
  <c r="U28" i="10"/>
  <c r="C17" i="11"/>
  <c r="B17" i="11"/>
  <c r="F17" i="11"/>
  <c r="D17" i="11"/>
  <c r="U17" i="11"/>
  <c r="B27" i="9"/>
  <c r="E33" i="9"/>
  <c r="U16" i="10"/>
  <c r="B16" i="10"/>
  <c r="S17" i="10"/>
  <c r="F17" i="10"/>
  <c r="M21" i="10"/>
  <c r="V21" i="10" s="1"/>
  <c r="B30" i="10"/>
  <c r="U30" i="10"/>
  <c r="M29" i="11"/>
  <c r="V29" i="11" s="1"/>
  <c r="F12" i="13"/>
  <c r="G12" i="13"/>
  <c r="E12" i="13"/>
  <c r="D12" i="13"/>
  <c r="V12" i="13"/>
  <c r="U12" i="13"/>
  <c r="C12" i="13"/>
  <c r="B12" i="13"/>
  <c r="B26" i="8"/>
  <c r="F26" i="8"/>
  <c r="B12" i="9"/>
  <c r="V12" i="9"/>
  <c r="F15" i="9"/>
  <c r="D27" i="9"/>
  <c r="B33" i="9"/>
  <c r="E12" i="10"/>
  <c r="B18" i="10"/>
  <c r="U18" i="10"/>
  <c r="G36" i="10"/>
  <c r="F6" i="11"/>
  <c r="D6" i="11"/>
  <c r="C6" i="11"/>
  <c r="G6" i="11" s="1"/>
  <c r="S6" i="11"/>
  <c r="E6" i="11"/>
  <c r="G17" i="11"/>
  <c r="D8" i="12"/>
  <c r="B8" i="12"/>
  <c r="U8" i="12"/>
  <c r="G8" i="12" s="1"/>
  <c r="F6" i="10"/>
  <c r="D6" i="10"/>
  <c r="B6" i="10"/>
  <c r="U6" i="10"/>
  <c r="C6" i="10"/>
  <c r="V6" i="10"/>
  <c r="S23" i="10"/>
  <c r="M23" i="10"/>
  <c r="V23" i="10" s="1"/>
  <c r="S9" i="11"/>
  <c r="M9" i="11"/>
  <c r="C9" i="11"/>
  <c r="U32" i="12"/>
  <c r="B32" i="12"/>
  <c r="D20" i="10"/>
  <c r="B20" i="10"/>
  <c r="F20" i="10"/>
  <c r="C20" i="10"/>
  <c r="G20" i="10"/>
  <c r="E20" i="10"/>
  <c r="V20" i="10"/>
  <c r="B22" i="10"/>
  <c r="U22" i="10"/>
  <c r="U24" i="10"/>
  <c r="B24" i="10"/>
  <c r="G35" i="10"/>
  <c r="V9" i="11"/>
  <c r="S12" i="11"/>
  <c r="M12" i="11"/>
  <c r="V12" i="11" s="1"/>
  <c r="G24" i="11"/>
  <c r="U24" i="11"/>
  <c r="F24" i="11" s="1"/>
  <c r="V24" i="11"/>
  <c r="E24" i="11"/>
  <c r="D24" i="11"/>
  <c r="B24" i="11"/>
  <c r="U14" i="9"/>
  <c r="U26" i="9"/>
  <c r="V11" i="10"/>
  <c r="D11" i="10" s="1"/>
  <c r="U14" i="10"/>
  <c r="S33" i="10"/>
  <c r="F33" i="10"/>
  <c r="D33" i="10"/>
  <c r="G10" i="11"/>
  <c r="E10" i="11"/>
  <c r="V10" i="11"/>
  <c r="F10" i="11"/>
  <c r="D10" i="11"/>
  <c r="S23" i="11"/>
  <c r="C23" i="11"/>
  <c r="U34" i="11"/>
  <c r="U12" i="12"/>
  <c r="C29" i="12"/>
  <c r="S29" i="12"/>
  <c r="M29" i="12"/>
  <c r="F36" i="13"/>
  <c r="G36" i="13"/>
  <c r="U36" i="13"/>
  <c r="D19" i="10"/>
  <c r="V19" i="10"/>
  <c r="M10" i="11"/>
  <c r="S10" i="11"/>
  <c r="I19" i="13"/>
  <c r="H19" i="13"/>
  <c r="B14" i="14"/>
  <c r="U14" i="14"/>
  <c r="S27" i="12"/>
  <c r="M27" i="12"/>
  <c r="F8" i="14"/>
  <c r="E8" i="14"/>
  <c r="E17" i="14"/>
  <c r="S17" i="14"/>
  <c r="M17" i="14"/>
  <c r="G17" i="14"/>
  <c r="F17" i="14"/>
  <c r="D17" i="14"/>
  <c r="U13" i="11"/>
  <c r="U25" i="11"/>
  <c r="U14" i="12"/>
  <c r="E14" i="12" s="1"/>
  <c r="F14" i="12"/>
  <c r="B14" i="12"/>
  <c r="V27" i="12"/>
  <c r="G9" i="14"/>
  <c r="E9" i="14"/>
  <c r="D9" i="14"/>
  <c r="B9" i="14"/>
  <c r="U9" i="14"/>
  <c r="U26" i="10"/>
  <c r="F26" i="10" s="1"/>
  <c r="B13" i="11"/>
  <c r="B15" i="11"/>
  <c r="U15" i="11"/>
  <c r="B25" i="11"/>
  <c r="S25" i="12"/>
  <c r="M25" i="12"/>
  <c r="V25" i="12" s="1"/>
  <c r="D25" i="12" s="1"/>
  <c r="G25" i="12" s="1"/>
  <c r="F25" i="12"/>
  <c r="E25" i="12"/>
  <c r="C25" i="12"/>
  <c r="G28" i="12"/>
  <c r="F28" i="12"/>
  <c r="E28" i="12"/>
  <c r="U28" i="12"/>
  <c r="D28" i="12"/>
  <c r="B32" i="14"/>
  <c r="U32" i="14"/>
  <c r="V29" i="10"/>
  <c r="G10" i="14"/>
  <c r="E10" i="14"/>
  <c r="D10" i="14"/>
  <c r="V10" i="14"/>
  <c r="U10" i="14"/>
  <c r="B10" i="14"/>
  <c r="V16" i="12"/>
  <c r="U24" i="12"/>
  <c r="U26" i="13"/>
  <c r="E26" i="13" s="1"/>
  <c r="S11" i="14"/>
  <c r="M11" i="14"/>
  <c r="U12" i="14"/>
  <c r="B32" i="10"/>
  <c r="U32" i="10"/>
  <c r="S17" i="12"/>
  <c r="S7" i="13"/>
  <c r="V7" i="13"/>
  <c r="D7" i="13" s="1"/>
  <c r="G7" i="13"/>
  <c r="F7" i="13"/>
  <c r="E7" i="13"/>
  <c r="U14" i="13"/>
  <c r="B12" i="14"/>
  <c r="M26" i="14"/>
  <c r="F9" i="11"/>
  <c r="D9" i="11"/>
  <c r="U20" i="11"/>
  <c r="B20" i="11"/>
  <c r="G23" i="11"/>
  <c r="E23" i="11"/>
  <c r="U26" i="11"/>
  <c r="S31" i="13"/>
  <c r="V31" i="13"/>
  <c r="E31" i="13"/>
  <c r="D31" i="13"/>
  <c r="F31" i="13"/>
  <c r="F19" i="14"/>
  <c r="E7" i="10"/>
  <c r="E19" i="10"/>
  <c r="C19" i="10"/>
  <c r="B9" i="11"/>
  <c r="B12" i="11"/>
  <c r="V14" i="11"/>
  <c r="S14" i="11"/>
  <c r="B23" i="11"/>
  <c r="B26" i="11"/>
  <c r="V17" i="12"/>
  <c r="B34" i="12"/>
  <c r="U34" i="12"/>
  <c r="U23" i="13"/>
  <c r="B23" i="13"/>
  <c r="U34" i="13"/>
  <c r="B34" i="13"/>
  <c r="U33" i="11"/>
  <c r="U35" i="11"/>
  <c r="U18" i="12"/>
  <c r="S20" i="12"/>
  <c r="M20" i="12"/>
  <c r="S19" i="13"/>
  <c r="V19" i="13"/>
  <c r="F19" i="13"/>
  <c r="E19" i="13"/>
  <c r="D19" i="13"/>
  <c r="C19" i="14"/>
  <c r="S19" i="14"/>
  <c r="E19" i="14"/>
  <c r="D19" i="14"/>
  <c r="E17" i="10"/>
  <c r="E9" i="11"/>
  <c r="D23" i="11"/>
  <c r="B33" i="11"/>
  <c r="B35" i="11"/>
  <c r="B18" i="12"/>
  <c r="S31" i="12"/>
  <c r="M31" i="12"/>
  <c r="F11" i="13"/>
  <c r="E11" i="13"/>
  <c r="D11" i="13"/>
  <c r="U11" i="13"/>
  <c r="U24" i="13"/>
  <c r="M32" i="13"/>
  <c r="D32" i="13"/>
  <c r="G32" i="13"/>
  <c r="F32" i="13"/>
  <c r="E32" i="13"/>
  <c r="B20" i="14"/>
  <c r="U20" i="14"/>
  <c r="B18" i="14"/>
  <c r="U18" i="14"/>
  <c r="D24" i="14"/>
  <c r="U24" i="14"/>
  <c r="B24" i="14"/>
  <c r="E27" i="14"/>
  <c r="V31" i="10"/>
  <c r="E31" i="10" s="1"/>
  <c r="U32" i="11"/>
  <c r="F15" i="12"/>
  <c r="M20" i="13"/>
  <c r="V20" i="13" s="1"/>
  <c r="E20" i="13" s="1"/>
  <c r="D20" i="13"/>
  <c r="S20" i="13"/>
  <c r="G20" i="13"/>
  <c r="F20" i="13"/>
  <c r="E24" i="14"/>
  <c r="B35" i="14"/>
  <c r="U35" i="14"/>
  <c r="G17" i="12"/>
  <c r="F17" i="12"/>
  <c r="E17" i="12"/>
  <c r="D17" i="12"/>
  <c r="C17" i="12"/>
  <c r="V9" i="10"/>
  <c r="C9" i="10" s="1"/>
  <c r="V33" i="10"/>
  <c r="D16" i="11"/>
  <c r="C16" i="11"/>
  <c r="C29" i="11"/>
  <c r="B29" i="11"/>
  <c r="S15" i="12"/>
  <c r="B17" i="12"/>
  <c r="B19" i="12"/>
  <c r="U19" i="12"/>
  <c r="F27" i="12"/>
  <c r="E27" i="12"/>
  <c r="D27" i="12"/>
  <c r="S25" i="13"/>
  <c r="C7" i="12"/>
  <c r="U7" i="12"/>
  <c r="B28" i="13"/>
  <c r="U28" i="13"/>
  <c r="S35" i="13"/>
  <c r="M35" i="13"/>
  <c r="F14" i="11"/>
  <c r="E14" i="11"/>
  <c r="E16" i="11"/>
  <c r="B28" i="11"/>
  <c r="E29" i="11"/>
  <c r="B36" i="11"/>
  <c r="V36" i="11"/>
  <c r="U36" i="11"/>
  <c r="B7" i="12"/>
  <c r="U13" i="12"/>
  <c r="C27" i="12"/>
  <c r="G27" i="12" s="1"/>
  <c r="V31" i="12"/>
  <c r="F31" i="12" s="1"/>
  <c r="E31" i="12"/>
  <c r="D31" i="12"/>
  <c r="C31" i="12"/>
  <c r="G31" i="12" s="1"/>
  <c r="B31" i="12"/>
  <c r="M13" i="13"/>
  <c r="V13" i="13" s="1"/>
  <c r="C13" i="13" s="1"/>
  <c r="S13" i="13"/>
  <c r="B16" i="13"/>
  <c r="U16" i="13"/>
  <c r="V25" i="13"/>
  <c r="V35" i="13"/>
  <c r="C35" i="13" s="1"/>
  <c r="S13" i="14"/>
  <c r="M13" i="14"/>
  <c r="V13" i="14" s="1"/>
  <c r="S29" i="14"/>
  <c r="M29" i="14"/>
  <c r="D29" i="14"/>
  <c r="C31" i="14"/>
  <c r="S31" i="14"/>
  <c r="F31" i="14"/>
  <c r="F35" i="13"/>
  <c r="E35" i="13"/>
  <c r="D35" i="13"/>
  <c r="E11" i="14"/>
  <c r="G11" i="14" s="1"/>
  <c r="F11" i="14"/>
  <c r="V11" i="14"/>
  <c r="D11" i="14" s="1"/>
  <c r="F30" i="12"/>
  <c r="E30" i="12"/>
  <c r="D30" i="12"/>
  <c r="C30" i="12"/>
  <c r="G30" i="12" s="1"/>
  <c r="E35" i="12"/>
  <c r="D35" i="12"/>
  <c r="C35" i="12"/>
  <c r="B13" i="13"/>
  <c r="E25" i="13"/>
  <c r="G25" i="13"/>
  <c r="F25" i="13"/>
  <c r="H33" i="13"/>
  <c r="B35" i="13"/>
  <c r="B11" i="14"/>
  <c r="C29" i="14"/>
  <c r="D31" i="14"/>
  <c r="F16" i="12"/>
  <c r="B26" i="12"/>
  <c r="B30" i="12"/>
  <c r="E33" i="12"/>
  <c r="G33" i="12" s="1"/>
  <c r="D33" i="12"/>
  <c r="C33" i="12"/>
  <c r="B33" i="12"/>
  <c r="U36" i="12"/>
  <c r="F36" i="12"/>
  <c r="E36" i="12"/>
  <c r="U15" i="13"/>
  <c r="B25" i="13"/>
  <c r="D8" i="14"/>
  <c r="C11" i="14"/>
  <c r="C21" i="14"/>
  <c r="G21" i="14" s="1"/>
  <c r="D23" i="14"/>
  <c r="E31" i="14"/>
  <c r="U7" i="11"/>
  <c r="U19" i="11"/>
  <c r="U31" i="11"/>
  <c r="B16" i="12"/>
  <c r="C26" i="12"/>
  <c r="G26" i="12" s="1"/>
  <c r="F33" i="12"/>
  <c r="B36" i="12"/>
  <c r="U10" i="13"/>
  <c r="B10" i="13"/>
  <c r="B15" i="13"/>
  <c r="V18" i="13"/>
  <c r="D21" i="13"/>
  <c r="C21" i="13"/>
  <c r="C25" i="13"/>
  <c r="U27" i="13"/>
  <c r="M6" i="14"/>
  <c r="D21" i="14"/>
  <c r="B23" i="14"/>
  <c r="G31" i="14"/>
  <c r="C9" i="12"/>
  <c r="G15" i="12"/>
  <c r="C16" i="12"/>
  <c r="D26" i="12"/>
  <c r="G29" i="12"/>
  <c r="F29" i="12"/>
  <c r="E29" i="12"/>
  <c r="D29" i="12"/>
  <c r="G36" i="12"/>
  <c r="M8" i="13"/>
  <c r="V8" i="13" s="1"/>
  <c r="D8" i="13"/>
  <c r="U22" i="13"/>
  <c r="B22" i="13"/>
  <c r="D25" i="13"/>
  <c r="B27" i="13"/>
  <c r="D33" i="13"/>
  <c r="C33" i="13"/>
  <c r="C17" i="14"/>
  <c r="U23" i="14"/>
  <c r="G23" i="14" s="1"/>
  <c r="V25" i="14"/>
  <c r="C25" i="14" s="1"/>
  <c r="M31" i="14"/>
  <c r="B30" i="14"/>
  <c r="U30" i="14"/>
  <c r="V20" i="12"/>
  <c r="V9" i="13"/>
  <c r="V21" i="13"/>
  <c r="V33" i="13"/>
  <c r="V9" i="12"/>
  <c r="F9" i="12" s="1"/>
  <c r="U10" i="12"/>
  <c r="B20" i="12"/>
  <c r="U22" i="12"/>
  <c r="V7" i="14"/>
  <c r="B8" i="14"/>
  <c r="M33" i="14"/>
  <c r="V33" i="14" s="1"/>
  <c r="U36" i="14"/>
  <c r="B9" i="12"/>
  <c r="U11" i="12"/>
  <c r="U23" i="12"/>
  <c r="C7" i="13"/>
  <c r="C19" i="13"/>
  <c r="C20" i="13"/>
  <c r="C31" i="13"/>
  <c r="G31" i="13" s="1"/>
  <c r="C32" i="13"/>
  <c r="C8" i="14"/>
  <c r="F16" i="14"/>
  <c r="B16" i="14"/>
  <c r="U16" i="14"/>
  <c r="V19" i="14"/>
  <c r="U22" i="14"/>
  <c r="B25" i="14"/>
  <c r="U6" i="13"/>
  <c r="U18" i="13"/>
  <c r="U30" i="13"/>
  <c r="B22" i="14"/>
  <c r="D25" i="14"/>
  <c r="B28" i="14"/>
  <c r="U28" i="14"/>
  <c r="V31" i="14"/>
  <c r="U34" i="14"/>
  <c r="F21" i="14"/>
  <c r="V26" i="14"/>
  <c r="E26" i="14" s="1"/>
  <c r="V17" i="13"/>
  <c r="V29" i="13"/>
  <c r="V15" i="14"/>
  <c r="B26" i="14"/>
  <c r="V27" i="14"/>
  <c r="V17" i="14"/>
  <c r="C27" i="14"/>
  <c r="V29" i="14"/>
  <c r="I23" i="14" l="1"/>
  <c r="H23" i="14"/>
  <c r="I27" i="12"/>
  <c r="H27" i="12"/>
  <c r="I11" i="14"/>
  <c r="H11" i="14"/>
  <c r="G16" i="12"/>
  <c r="I25" i="12"/>
  <c r="H25" i="12"/>
  <c r="E33" i="14"/>
  <c r="D33" i="14"/>
  <c r="C33" i="14"/>
  <c r="F33" i="14"/>
  <c r="G25" i="14"/>
  <c r="I7" i="13"/>
  <c r="H7" i="13"/>
  <c r="C21" i="6"/>
  <c r="G21" i="6" s="1"/>
  <c r="E21" i="6"/>
  <c r="F21" i="6"/>
  <c r="D21" i="6"/>
  <c r="F29" i="13"/>
  <c r="D29" i="13"/>
  <c r="C29" i="13"/>
  <c r="G29" i="13" s="1"/>
  <c r="E29" i="13"/>
  <c r="C17" i="3"/>
  <c r="I26" i="3"/>
  <c r="H26" i="3"/>
  <c r="F10" i="4"/>
  <c r="E10" i="4"/>
  <c r="D10" i="4"/>
  <c r="C10" i="4"/>
  <c r="F17" i="13"/>
  <c r="D17" i="13"/>
  <c r="C17" i="13"/>
  <c r="S30" i="13"/>
  <c r="M30" i="13"/>
  <c r="C30" i="13"/>
  <c r="E30" i="13"/>
  <c r="S11" i="12"/>
  <c r="M11" i="12"/>
  <c r="F9" i="13"/>
  <c r="E9" i="13"/>
  <c r="C9" i="13"/>
  <c r="G9" i="13" s="1"/>
  <c r="H36" i="12"/>
  <c r="I36" i="12"/>
  <c r="S10" i="13"/>
  <c r="M10" i="13"/>
  <c r="V10" i="13" s="1"/>
  <c r="V36" i="12"/>
  <c r="S36" i="12"/>
  <c r="M36" i="12"/>
  <c r="D36" i="12"/>
  <c r="S23" i="13"/>
  <c r="M23" i="13"/>
  <c r="V23" i="13"/>
  <c r="E23" i="13" s="1"/>
  <c r="I9" i="14"/>
  <c r="H9" i="14"/>
  <c r="D22" i="11"/>
  <c r="C22" i="11"/>
  <c r="F22" i="11"/>
  <c r="F9" i="7"/>
  <c r="E9" i="7"/>
  <c r="D9" i="7"/>
  <c r="H23" i="6"/>
  <c r="I23" i="6"/>
  <c r="I15" i="5"/>
  <c r="H15" i="5"/>
  <c r="C9" i="7"/>
  <c r="G9" i="7" s="1"/>
  <c r="G21" i="5"/>
  <c r="F15" i="14"/>
  <c r="D15" i="14"/>
  <c r="C15" i="14"/>
  <c r="S23" i="14"/>
  <c r="M23" i="14"/>
  <c r="V23" i="14"/>
  <c r="F23" i="14"/>
  <c r="I13" i="10"/>
  <c r="H13" i="10"/>
  <c r="D13" i="3"/>
  <c r="E13" i="3"/>
  <c r="C13" i="3"/>
  <c r="F13" i="3"/>
  <c r="S16" i="13"/>
  <c r="M16" i="13"/>
  <c r="V16" i="13" s="1"/>
  <c r="V26" i="13"/>
  <c r="I10" i="11"/>
  <c r="H10" i="11"/>
  <c r="I16" i="8"/>
  <c r="H16" i="8"/>
  <c r="C23" i="7"/>
  <c r="G23" i="7" s="1"/>
  <c r="D23" i="7"/>
  <c r="E23" i="7"/>
  <c r="C21" i="10"/>
  <c r="F21" i="10"/>
  <c r="D21" i="10"/>
  <c r="E21" i="10"/>
  <c r="E28" i="11"/>
  <c r="F28" i="11"/>
  <c r="C28" i="11"/>
  <c r="S36" i="9"/>
  <c r="M36" i="9"/>
  <c r="D36" i="9"/>
  <c r="F36" i="9"/>
  <c r="V36" i="9"/>
  <c r="E36" i="9"/>
  <c r="H30" i="6"/>
  <c r="I30" i="6"/>
  <c r="H6" i="5"/>
  <c r="I6" i="5"/>
  <c r="E8" i="5"/>
  <c r="F8" i="5"/>
  <c r="C8" i="5"/>
  <c r="G8" i="5" s="1"/>
  <c r="D8" i="5"/>
  <c r="S18" i="13"/>
  <c r="M18" i="13"/>
  <c r="G18" i="13"/>
  <c r="F18" i="13"/>
  <c r="C18" i="13"/>
  <c r="E18" i="13"/>
  <c r="D18" i="13"/>
  <c r="M36" i="14"/>
  <c r="V36" i="14" s="1"/>
  <c r="F36" i="14" s="1"/>
  <c r="S36" i="14"/>
  <c r="V30" i="13"/>
  <c r="D30" i="13" s="1"/>
  <c r="G19" i="14"/>
  <c r="F23" i="13"/>
  <c r="S24" i="12"/>
  <c r="M24" i="12"/>
  <c r="V24" i="12" s="1"/>
  <c r="E24" i="12" s="1"/>
  <c r="D24" i="12"/>
  <c r="C24" i="12"/>
  <c r="E23" i="10"/>
  <c r="C23" i="10"/>
  <c r="D23" i="10"/>
  <c r="F23" i="10"/>
  <c r="S27" i="10"/>
  <c r="M27" i="10"/>
  <c r="G27" i="10"/>
  <c r="V27" i="10"/>
  <c r="F27" i="10"/>
  <c r="E27" i="10"/>
  <c r="D27" i="10"/>
  <c r="C27" i="10"/>
  <c r="H36" i="7"/>
  <c r="I36" i="7"/>
  <c r="I24" i="5"/>
  <c r="H24" i="5"/>
  <c r="E16" i="3"/>
  <c r="C16" i="3"/>
  <c r="D16" i="3"/>
  <c r="S24" i="6"/>
  <c r="M24" i="6"/>
  <c r="V24" i="6"/>
  <c r="F24" i="6" s="1"/>
  <c r="C24" i="6"/>
  <c r="G24" i="6" s="1"/>
  <c r="E24" i="6"/>
  <c r="D24" i="6"/>
  <c r="H12" i="10"/>
  <c r="I12" i="10"/>
  <c r="H26" i="7"/>
  <c r="I26" i="7"/>
  <c r="I8" i="12"/>
  <c r="H8" i="12"/>
  <c r="M19" i="12"/>
  <c r="S19" i="12"/>
  <c r="E19" i="12"/>
  <c r="D19" i="12"/>
  <c r="C19" i="12"/>
  <c r="I20" i="13"/>
  <c r="H20" i="13"/>
  <c r="M28" i="10"/>
  <c r="V28" i="10" s="1"/>
  <c r="S28" i="10"/>
  <c r="G34" i="9"/>
  <c r="I19" i="8"/>
  <c r="H19" i="8"/>
  <c r="D18" i="11"/>
  <c r="F18" i="11"/>
  <c r="E18" i="11"/>
  <c r="C18" i="11"/>
  <c r="G36" i="9"/>
  <c r="F27" i="8"/>
  <c r="D27" i="8"/>
  <c r="C27" i="8"/>
  <c r="E27" i="8"/>
  <c r="H12" i="5"/>
  <c r="I12" i="5"/>
  <c r="C18" i="7"/>
  <c r="F18" i="7"/>
  <c r="D18" i="7"/>
  <c r="E18" i="7"/>
  <c r="C10" i="9"/>
  <c r="D10" i="9"/>
  <c r="F17" i="6"/>
  <c r="E17" i="6"/>
  <c r="D17" i="6"/>
  <c r="C17" i="6"/>
  <c r="G17" i="6" s="1"/>
  <c r="E9" i="8"/>
  <c r="D9" i="8"/>
  <c r="C9" i="8"/>
  <c r="F9" i="8"/>
  <c r="F8" i="13"/>
  <c r="E8" i="13"/>
  <c r="E23" i="14"/>
  <c r="C20" i="12"/>
  <c r="F20" i="12"/>
  <c r="H33" i="12"/>
  <c r="I33" i="12"/>
  <c r="S28" i="13"/>
  <c r="M28" i="13"/>
  <c r="V28" i="13" s="1"/>
  <c r="V19" i="12"/>
  <c r="F19" i="12" s="1"/>
  <c r="E20" i="12"/>
  <c r="E22" i="11"/>
  <c r="C7" i="10"/>
  <c r="F7" i="10"/>
  <c r="D7" i="10"/>
  <c r="C18" i="9"/>
  <c r="D18" i="9"/>
  <c r="F18" i="9"/>
  <c r="E18" i="9"/>
  <c r="C12" i="3"/>
  <c r="F12" i="3"/>
  <c r="E12" i="3"/>
  <c r="S20" i="11"/>
  <c r="M20" i="11"/>
  <c r="V20" i="11"/>
  <c r="F20" i="11" s="1"/>
  <c r="D27" i="11"/>
  <c r="F27" i="11"/>
  <c r="C27" i="11"/>
  <c r="G27" i="11" s="1"/>
  <c r="I21" i="14"/>
  <c r="H21" i="14"/>
  <c r="I26" i="12"/>
  <c r="H26" i="12"/>
  <c r="F29" i="14"/>
  <c r="E29" i="14"/>
  <c r="G29" i="14" s="1"/>
  <c r="C33" i="11"/>
  <c r="M26" i="11"/>
  <c r="V26" i="11" s="1"/>
  <c r="S26" i="11"/>
  <c r="M12" i="14"/>
  <c r="V12" i="14" s="1"/>
  <c r="S12" i="14"/>
  <c r="V26" i="9"/>
  <c r="E26" i="9" s="1"/>
  <c r="S26" i="9"/>
  <c r="M26" i="9"/>
  <c r="F25" i="9"/>
  <c r="E25" i="9"/>
  <c r="D25" i="9"/>
  <c r="I13" i="8"/>
  <c r="H13" i="8"/>
  <c r="D33" i="8"/>
  <c r="E33" i="8"/>
  <c r="C33" i="8"/>
  <c r="I28" i="6"/>
  <c r="H28" i="6"/>
  <c r="F35" i="6"/>
  <c r="E35" i="6"/>
  <c r="D35" i="6"/>
  <c r="C35" i="6"/>
  <c r="G35" i="6" s="1"/>
  <c r="H13" i="4"/>
  <c r="I13" i="4"/>
  <c r="H30" i="12"/>
  <c r="I30" i="12"/>
  <c r="I33" i="9"/>
  <c r="H33" i="9"/>
  <c r="E15" i="14"/>
  <c r="E12" i="11"/>
  <c r="C12" i="11"/>
  <c r="F12" i="11"/>
  <c r="G8" i="14"/>
  <c r="D31" i="11"/>
  <c r="C31" i="11"/>
  <c r="G31" i="11"/>
  <c r="F31" i="11"/>
  <c r="E31" i="11"/>
  <c r="S31" i="11"/>
  <c r="M31" i="11"/>
  <c r="V31" i="11"/>
  <c r="S28" i="14"/>
  <c r="M28" i="14"/>
  <c r="V28" i="14" s="1"/>
  <c r="I31" i="13"/>
  <c r="H31" i="13"/>
  <c r="S22" i="12"/>
  <c r="E22" i="12"/>
  <c r="D22" i="12"/>
  <c r="C22" i="12"/>
  <c r="G22" i="12"/>
  <c r="F22" i="12"/>
  <c r="M22" i="12"/>
  <c r="V22" i="12"/>
  <c r="D20" i="12"/>
  <c r="M36" i="13"/>
  <c r="S36" i="13"/>
  <c r="E36" i="13"/>
  <c r="D36" i="13"/>
  <c r="V36" i="13"/>
  <c r="C36" i="13"/>
  <c r="H12" i="13"/>
  <c r="I12" i="13"/>
  <c r="S24" i="8"/>
  <c r="G24" i="8"/>
  <c r="C24" i="8"/>
  <c r="M24" i="8"/>
  <c r="V24" i="8"/>
  <c r="D24" i="8"/>
  <c r="F24" i="8"/>
  <c r="E24" i="8"/>
  <c r="F29" i="10"/>
  <c r="C29" i="10"/>
  <c r="D29" i="10"/>
  <c r="E29" i="10"/>
  <c r="D31" i="10"/>
  <c r="C31" i="10"/>
  <c r="G31" i="10" s="1"/>
  <c r="C26" i="14"/>
  <c r="F26" i="14"/>
  <c r="F13" i="14"/>
  <c r="E13" i="14"/>
  <c r="C13" i="14"/>
  <c r="G13" i="14" s="1"/>
  <c r="D13" i="14"/>
  <c r="D26" i="14"/>
  <c r="V22" i="13"/>
  <c r="D22" i="13" s="1"/>
  <c r="S22" i="13"/>
  <c r="M22" i="13"/>
  <c r="G22" i="13"/>
  <c r="F22" i="13"/>
  <c r="E22" i="13"/>
  <c r="C22" i="13"/>
  <c r="D9" i="13"/>
  <c r="G35" i="13"/>
  <c r="S7" i="12"/>
  <c r="G7" i="12"/>
  <c r="F7" i="12"/>
  <c r="M7" i="12"/>
  <c r="V7" i="12"/>
  <c r="E7" i="12"/>
  <c r="D7" i="12"/>
  <c r="M24" i="13"/>
  <c r="V24" i="13" s="1"/>
  <c r="S24" i="13"/>
  <c r="H28" i="12"/>
  <c r="I28" i="12"/>
  <c r="H36" i="13"/>
  <c r="I36" i="13"/>
  <c r="F24" i="10"/>
  <c r="I6" i="11"/>
  <c r="H6" i="11"/>
  <c r="F31" i="10"/>
  <c r="C36" i="9"/>
  <c r="E7" i="8"/>
  <c r="D7" i="8"/>
  <c r="C7" i="8"/>
  <c r="I14" i="8"/>
  <c r="H14" i="8"/>
  <c r="C28" i="9"/>
  <c r="F28" i="9"/>
  <c r="D28" i="9"/>
  <c r="E28" i="9"/>
  <c r="I31" i="6"/>
  <c r="H31" i="6"/>
  <c r="I13" i="6"/>
  <c r="H13" i="6"/>
  <c r="I10" i="8"/>
  <c r="H10" i="8"/>
  <c r="V6" i="14"/>
  <c r="F13" i="13"/>
  <c r="D13" i="13"/>
  <c r="M30" i="14"/>
  <c r="S30" i="14"/>
  <c r="E30" i="14"/>
  <c r="C30" i="14"/>
  <c r="F30" i="14"/>
  <c r="G30" i="14"/>
  <c r="V30" i="14"/>
  <c r="D30" i="14"/>
  <c r="I31" i="12"/>
  <c r="H31" i="12"/>
  <c r="E17" i="13"/>
  <c r="E27" i="11"/>
  <c r="V11" i="12"/>
  <c r="E11" i="12" s="1"/>
  <c r="H17" i="12"/>
  <c r="I17" i="12"/>
  <c r="D12" i="11"/>
  <c r="S9" i="14"/>
  <c r="M9" i="14"/>
  <c r="M37" i="14" s="1"/>
  <c r="I17" i="15" s="1"/>
  <c r="F9" i="14"/>
  <c r="C9" i="14"/>
  <c r="V9" i="14"/>
  <c r="F29" i="11"/>
  <c r="D29" i="11"/>
  <c r="G29" i="11" s="1"/>
  <c r="M19" i="9"/>
  <c r="S19" i="9"/>
  <c r="F19" i="9"/>
  <c r="V19" i="9"/>
  <c r="D19" i="9" s="1"/>
  <c r="C19" i="9"/>
  <c r="E19" i="9"/>
  <c r="F25" i="7"/>
  <c r="C25" i="7"/>
  <c r="E25" i="7"/>
  <c r="D25" i="7"/>
  <c r="G15" i="8"/>
  <c r="S31" i="9"/>
  <c r="M31" i="9"/>
  <c r="V31" i="9"/>
  <c r="C31" i="9" s="1"/>
  <c r="F31" i="9"/>
  <c r="E31" i="9"/>
  <c r="E26" i="8"/>
  <c r="D26" i="8"/>
  <c r="C26" i="8"/>
  <c r="G26" i="8" s="1"/>
  <c r="H20" i="4"/>
  <c r="I20" i="4"/>
  <c r="I31" i="14"/>
  <c r="H31" i="14"/>
  <c r="S26" i="13"/>
  <c r="M26" i="13"/>
  <c r="D26" i="13"/>
  <c r="G26" i="13"/>
  <c r="F26" i="13"/>
  <c r="C26" i="13"/>
  <c r="E10" i="6"/>
  <c r="D10" i="6"/>
  <c r="C10" i="6"/>
  <c r="G10" i="6" s="1"/>
  <c r="V12" i="12"/>
  <c r="E7" i="14"/>
  <c r="D7" i="14"/>
  <c r="F7" i="14"/>
  <c r="C7" i="14"/>
  <c r="C8" i="13"/>
  <c r="F25" i="14"/>
  <c r="E25" i="14"/>
  <c r="G9" i="12"/>
  <c r="C23" i="14"/>
  <c r="C36" i="12"/>
  <c r="E13" i="13"/>
  <c r="G13" i="13" s="1"/>
  <c r="D28" i="11"/>
  <c r="S35" i="14"/>
  <c r="M35" i="14"/>
  <c r="V35" i="14" s="1"/>
  <c r="S11" i="13"/>
  <c r="M11" i="13"/>
  <c r="C11" i="13"/>
  <c r="V11" i="13"/>
  <c r="G11" i="13"/>
  <c r="S14" i="14"/>
  <c r="M14" i="14"/>
  <c r="V14" i="14" s="1"/>
  <c r="C25" i="9"/>
  <c r="G25" i="9" s="1"/>
  <c r="F7" i="8"/>
  <c r="F25" i="10"/>
  <c r="I12" i="8"/>
  <c r="H12" i="8"/>
  <c r="M28" i="5"/>
  <c r="S28" i="5"/>
  <c r="V28" i="5"/>
  <c r="D28" i="5" s="1"/>
  <c r="E28" i="5"/>
  <c r="H27" i="5"/>
  <c r="I27" i="5"/>
  <c r="F6" i="9"/>
  <c r="C6" i="9"/>
  <c r="M23" i="9"/>
  <c r="V23" i="9"/>
  <c r="S23" i="9"/>
  <c r="F23" i="9"/>
  <c r="H32" i="8"/>
  <c r="I32" i="8"/>
  <c r="M10" i="9"/>
  <c r="S10" i="9"/>
  <c r="F10" i="9"/>
  <c r="H18" i="5"/>
  <c r="I18" i="5"/>
  <c r="C34" i="6"/>
  <c r="E34" i="6"/>
  <c r="D34" i="6"/>
  <c r="F31" i="7"/>
  <c r="E22" i="7"/>
  <c r="M28" i="7"/>
  <c r="S28" i="7"/>
  <c r="C28" i="7"/>
  <c r="I9" i="4"/>
  <c r="H9" i="4"/>
  <c r="M11" i="3"/>
  <c r="V11" i="3" s="1"/>
  <c r="S11" i="3"/>
  <c r="V23" i="6"/>
  <c r="I26" i="5"/>
  <c r="H26" i="5"/>
  <c r="G28" i="4"/>
  <c r="D14" i="6"/>
  <c r="H19" i="5"/>
  <c r="I19" i="5"/>
  <c r="H16" i="6"/>
  <c r="I16" i="6"/>
  <c r="V30" i="6"/>
  <c r="F23" i="5"/>
  <c r="C23" i="5"/>
  <c r="E25" i="5"/>
  <c r="F31" i="4"/>
  <c r="E31" i="4"/>
  <c r="C31" i="4"/>
  <c r="S30" i="3"/>
  <c r="M30" i="3"/>
  <c r="I7" i="3"/>
  <c r="H7" i="3"/>
  <c r="F17" i="3"/>
  <c r="V14" i="5"/>
  <c r="E14" i="5" s="1"/>
  <c r="D7" i="3"/>
  <c r="M9" i="6"/>
  <c r="S9" i="6"/>
  <c r="D21" i="5"/>
  <c r="M21" i="4"/>
  <c r="V21" i="4" s="1"/>
  <c r="S21" i="4"/>
  <c r="I25" i="5"/>
  <c r="H25" i="5"/>
  <c r="S10" i="5"/>
  <c r="M10" i="5"/>
  <c r="E7" i="3"/>
  <c r="S32" i="12"/>
  <c r="M32" i="12"/>
  <c r="M16" i="10"/>
  <c r="S16" i="10"/>
  <c r="M6" i="12"/>
  <c r="S6" i="12"/>
  <c r="S11" i="9"/>
  <c r="M11" i="9"/>
  <c r="M32" i="6"/>
  <c r="S32" i="6"/>
  <c r="V32" i="6"/>
  <c r="C32" i="6" s="1"/>
  <c r="I11" i="8"/>
  <c r="H11" i="8"/>
  <c r="S33" i="6"/>
  <c r="M33" i="6"/>
  <c r="F34" i="3"/>
  <c r="D34" i="3"/>
  <c r="M16" i="5"/>
  <c r="S16" i="5"/>
  <c r="H28" i="3"/>
  <c r="I28" i="3"/>
  <c r="I14" i="7"/>
  <c r="H14" i="7"/>
  <c r="M22" i="14"/>
  <c r="V22" i="14" s="1"/>
  <c r="S22" i="14"/>
  <c r="S19" i="11"/>
  <c r="M19" i="11"/>
  <c r="V19" i="11" s="1"/>
  <c r="E19" i="11" s="1"/>
  <c r="D19" i="11"/>
  <c r="S15" i="13"/>
  <c r="M15" i="13"/>
  <c r="V15" i="13" s="1"/>
  <c r="S13" i="12"/>
  <c r="M13" i="12"/>
  <c r="V13" i="12"/>
  <c r="D13" i="12" s="1"/>
  <c r="M24" i="14"/>
  <c r="S24" i="14"/>
  <c r="E16" i="12"/>
  <c r="D16" i="12"/>
  <c r="M34" i="11"/>
  <c r="S34" i="11"/>
  <c r="I20" i="10"/>
  <c r="H20" i="10"/>
  <c r="E8" i="12"/>
  <c r="F16" i="10"/>
  <c r="M32" i="9"/>
  <c r="V32" i="9" s="1"/>
  <c r="F32" i="9" s="1"/>
  <c r="S32" i="9"/>
  <c r="M11" i="11"/>
  <c r="V11" i="11" s="1"/>
  <c r="S11" i="11"/>
  <c r="E11" i="11"/>
  <c r="V11" i="9"/>
  <c r="F11" i="9" s="1"/>
  <c r="G22" i="8"/>
  <c r="C7" i="9"/>
  <c r="C21" i="8"/>
  <c r="C23" i="6"/>
  <c r="E32" i="6"/>
  <c r="S25" i="6"/>
  <c r="M25" i="6"/>
  <c r="V25" i="6" s="1"/>
  <c r="D25" i="6" s="1"/>
  <c r="F25" i="6"/>
  <c r="G8" i="8"/>
  <c r="D27" i="7"/>
  <c r="V33" i="6"/>
  <c r="E33" i="6" s="1"/>
  <c r="M18" i="6"/>
  <c r="V18" i="6" s="1"/>
  <c r="S18" i="6"/>
  <c r="S14" i="6"/>
  <c r="M14" i="6"/>
  <c r="V14" i="6" s="1"/>
  <c r="F14" i="6" s="1"/>
  <c r="D35" i="3"/>
  <c r="F30" i="5"/>
  <c r="M34" i="14"/>
  <c r="V34" i="14"/>
  <c r="D34" i="14"/>
  <c r="C34" i="14"/>
  <c r="S34" i="14"/>
  <c r="S6" i="13"/>
  <c r="M6" i="13"/>
  <c r="S23" i="12"/>
  <c r="M23" i="12"/>
  <c r="V23" i="12" s="1"/>
  <c r="C23" i="12" s="1"/>
  <c r="G23" i="12" s="1"/>
  <c r="F23" i="12"/>
  <c r="E23" i="12"/>
  <c r="D23" i="12"/>
  <c r="C10" i="12"/>
  <c r="M10" i="12"/>
  <c r="V10" i="12" s="1"/>
  <c r="D10" i="12" s="1"/>
  <c r="S10" i="12"/>
  <c r="S7" i="11"/>
  <c r="M7" i="11"/>
  <c r="V24" i="14"/>
  <c r="F20" i="14"/>
  <c r="S35" i="11"/>
  <c r="M35" i="11"/>
  <c r="V35" i="11" s="1"/>
  <c r="C35" i="11" s="1"/>
  <c r="F35" i="11"/>
  <c r="C14" i="11"/>
  <c r="D14" i="11"/>
  <c r="V34" i="11"/>
  <c r="C34" i="11" s="1"/>
  <c r="M12" i="13"/>
  <c r="S12" i="13"/>
  <c r="M30" i="10"/>
  <c r="V30" i="10" s="1"/>
  <c r="S30" i="10"/>
  <c r="C34" i="10"/>
  <c r="C17" i="10"/>
  <c r="G17" i="10" s="1"/>
  <c r="F34" i="9"/>
  <c r="S24" i="9"/>
  <c r="M24" i="9"/>
  <c r="V24" i="9" s="1"/>
  <c r="D24" i="9" s="1"/>
  <c r="F24" i="9"/>
  <c r="E24" i="9"/>
  <c r="C24" i="9"/>
  <c r="S15" i="10"/>
  <c r="M15" i="10"/>
  <c r="V15" i="10" s="1"/>
  <c r="F15" i="10" s="1"/>
  <c r="C15" i="10"/>
  <c r="D11" i="9"/>
  <c r="C11" i="9"/>
  <c r="I29" i="9"/>
  <c r="H29" i="9"/>
  <c r="E16" i="7"/>
  <c r="C16" i="7"/>
  <c r="M16" i="7"/>
  <c r="V16" i="7" s="1"/>
  <c r="F16" i="7" s="1"/>
  <c r="S16" i="7"/>
  <c r="F34" i="6"/>
  <c r="E7" i="9"/>
  <c r="D30" i="8"/>
  <c r="I21" i="7"/>
  <c r="H21" i="7"/>
  <c r="C11" i="10"/>
  <c r="M32" i="8"/>
  <c r="D32" i="8"/>
  <c r="C32" i="8"/>
  <c r="S32" i="8"/>
  <c r="V32" i="8"/>
  <c r="S30" i="7"/>
  <c r="M30" i="7"/>
  <c r="V30" i="7" s="1"/>
  <c r="E21" i="8"/>
  <c r="D23" i="6"/>
  <c r="F32" i="6"/>
  <c r="D21" i="9"/>
  <c r="G21" i="9" s="1"/>
  <c r="D17" i="7"/>
  <c r="D34" i="7"/>
  <c r="F27" i="7"/>
  <c r="V31" i="5"/>
  <c r="S31" i="5"/>
  <c r="M31" i="5"/>
  <c r="E31" i="5"/>
  <c r="C34" i="3"/>
  <c r="G20" i="3"/>
  <c r="G29" i="3"/>
  <c r="S19" i="7"/>
  <c r="M19" i="7"/>
  <c r="V19" i="7" s="1"/>
  <c r="M20" i="6"/>
  <c r="V20" i="6" s="1"/>
  <c r="S20" i="6"/>
  <c r="E17" i="4"/>
  <c r="C17" i="4"/>
  <c r="F17" i="4"/>
  <c r="V23" i="3"/>
  <c r="F23" i="3" s="1"/>
  <c r="S23" i="3"/>
  <c r="M23" i="3"/>
  <c r="G9" i="6"/>
  <c r="V9" i="6"/>
  <c r="V10" i="5"/>
  <c r="C10" i="5" s="1"/>
  <c r="M33" i="4"/>
  <c r="S33" i="4"/>
  <c r="D33" i="4"/>
  <c r="C33" i="4"/>
  <c r="M25" i="3"/>
  <c r="V25" i="3"/>
  <c r="S25" i="3"/>
  <c r="C6" i="3"/>
  <c r="C17" i="5"/>
  <c r="M8" i="12"/>
  <c r="S8" i="12"/>
  <c r="F8" i="12"/>
  <c r="H34" i="10"/>
  <c r="I34" i="10"/>
  <c r="H22" i="6"/>
  <c r="I22" i="6"/>
  <c r="S8" i="11"/>
  <c r="M8" i="11"/>
  <c r="F27" i="14"/>
  <c r="D27" i="14"/>
  <c r="G27" i="14" s="1"/>
  <c r="S16" i="14"/>
  <c r="C16" i="14"/>
  <c r="V16" i="14"/>
  <c r="M16" i="14"/>
  <c r="G16" i="14"/>
  <c r="E16" i="14"/>
  <c r="M36" i="11"/>
  <c r="G36" i="11"/>
  <c r="F36" i="11"/>
  <c r="E36" i="11"/>
  <c r="D36" i="11"/>
  <c r="S36" i="11"/>
  <c r="C36" i="11"/>
  <c r="C24" i="14"/>
  <c r="M34" i="12"/>
  <c r="V34" i="12" s="1"/>
  <c r="S34" i="12"/>
  <c r="I23" i="11"/>
  <c r="H23" i="11"/>
  <c r="M10" i="14"/>
  <c r="S10" i="14"/>
  <c r="M26" i="10"/>
  <c r="S26" i="10"/>
  <c r="D26" i="10"/>
  <c r="C26" i="10"/>
  <c r="V26" i="10"/>
  <c r="E26" i="10"/>
  <c r="G26" i="10"/>
  <c r="C14" i="12"/>
  <c r="M13" i="11"/>
  <c r="V13" i="11" s="1"/>
  <c r="S13" i="11"/>
  <c r="D34" i="11"/>
  <c r="M14" i="10"/>
  <c r="V14" i="10" s="1"/>
  <c r="S14" i="10"/>
  <c r="M24" i="11"/>
  <c r="S24" i="11"/>
  <c r="C24" i="11"/>
  <c r="M24" i="10"/>
  <c r="S24" i="10"/>
  <c r="V8" i="12"/>
  <c r="I36" i="10"/>
  <c r="H36" i="10"/>
  <c r="M34" i="10"/>
  <c r="S34" i="10"/>
  <c r="E34" i="10"/>
  <c r="D17" i="9"/>
  <c r="H22" i="9"/>
  <c r="I22" i="9"/>
  <c r="S35" i="9"/>
  <c r="M35" i="9"/>
  <c r="V35" i="9"/>
  <c r="F35" i="9"/>
  <c r="F15" i="7"/>
  <c r="E15" i="7"/>
  <c r="D15" i="7"/>
  <c r="C15" i="7"/>
  <c r="C30" i="8"/>
  <c r="E11" i="10"/>
  <c r="E23" i="6"/>
  <c r="E25" i="6"/>
  <c r="S24" i="7"/>
  <c r="M24" i="7"/>
  <c r="V24" i="7" s="1"/>
  <c r="S19" i="6"/>
  <c r="M19" i="6"/>
  <c r="V19" i="6" s="1"/>
  <c r="F19" i="6" s="1"/>
  <c r="E17" i="7"/>
  <c r="G17" i="7" s="1"/>
  <c r="S13" i="5"/>
  <c r="M13" i="5"/>
  <c r="V13" i="5"/>
  <c r="C13" i="5" s="1"/>
  <c r="M32" i="7"/>
  <c r="V32" i="7" s="1"/>
  <c r="S32" i="7"/>
  <c r="S34" i="7"/>
  <c r="M34" i="7"/>
  <c r="S10" i="7"/>
  <c r="M10" i="7"/>
  <c r="G33" i="3"/>
  <c r="V18" i="3"/>
  <c r="F18" i="3" s="1"/>
  <c r="F33" i="7"/>
  <c r="G33" i="7" s="1"/>
  <c r="D19" i="7"/>
  <c r="G36" i="4"/>
  <c r="C9" i="6"/>
  <c r="C30" i="5"/>
  <c r="M19" i="5"/>
  <c r="S19" i="5"/>
  <c r="E19" i="5"/>
  <c r="D19" i="5"/>
  <c r="F33" i="4"/>
  <c r="S6" i="4"/>
  <c r="M6" i="4"/>
  <c r="C29" i="4"/>
  <c r="M35" i="4"/>
  <c r="G35" i="4"/>
  <c r="S35" i="4"/>
  <c r="S29" i="8"/>
  <c r="M29" i="8"/>
  <c r="V29" i="8" s="1"/>
  <c r="D9" i="6"/>
  <c r="D30" i="5"/>
  <c r="C19" i="5"/>
  <c r="S8" i="7"/>
  <c r="M8" i="7"/>
  <c r="E29" i="4"/>
  <c r="F27" i="3"/>
  <c r="G27" i="3" s="1"/>
  <c r="M20" i="14"/>
  <c r="V20" i="14" s="1"/>
  <c r="D20" i="14" s="1"/>
  <c r="S20" i="14"/>
  <c r="C20" i="14"/>
  <c r="D14" i="12"/>
  <c r="H24" i="11"/>
  <c r="I24" i="11"/>
  <c r="S28" i="8"/>
  <c r="M28" i="8"/>
  <c r="V28" i="8"/>
  <c r="D28" i="8" s="1"/>
  <c r="S9" i="9"/>
  <c r="G9" i="9"/>
  <c r="C9" i="9"/>
  <c r="M9" i="9"/>
  <c r="V25" i="8"/>
  <c r="S25" i="8"/>
  <c r="M25" i="8"/>
  <c r="E25" i="8"/>
  <c r="G25" i="8"/>
  <c r="M13" i="7"/>
  <c r="F13" i="7"/>
  <c r="G13" i="7"/>
  <c r="E13" i="7"/>
  <c r="S13" i="7"/>
  <c r="F23" i="6"/>
  <c r="H18" i="8"/>
  <c r="I18" i="8"/>
  <c r="F17" i="7"/>
  <c r="V20" i="8"/>
  <c r="F20" i="8" s="1"/>
  <c r="M27" i="7"/>
  <c r="S27" i="7"/>
  <c r="S26" i="6"/>
  <c r="M26" i="6"/>
  <c r="S17" i="3"/>
  <c r="M17" i="3"/>
  <c r="V17" i="3"/>
  <c r="E17" i="3" s="1"/>
  <c r="S6" i="3"/>
  <c r="M6" i="3"/>
  <c r="S19" i="3"/>
  <c r="M19" i="3"/>
  <c r="V19" i="3" s="1"/>
  <c r="S14" i="5"/>
  <c r="M14" i="5"/>
  <c r="H15" i="6"/>
  <c r="I15" i="6"/>
  <c r="H32" i="5"/>
  <c r="I32" i="5"/>
  <c r="D16" i="14"/>
  <c r="E21" i="13"/>
  <c r="F21" i="13"/>
  <c r="H29" i="12"/>
  <c r="I29" i="12"/>
  <c r="S27" i="13"/>
  <c r="M27" i="13"/>
  <c r="V27" i="13" s="1"/>
  <c r="I25" i="13"/>
  <c r="H25" i="13"/>
  <c r="G24" i="14"/>
  <c r="S32" i="11"/>
  <c r="M32" i="11"/>
  <c r="V32" i="11" s="1"/>
  <c r="D32" i="11" s="1"/>
  <c r="F24" i="14"/>
  <c r="S34" i="13"/>
  <c r="M34" i="13"/>
  <c r="V34" i="13" s="1"/>
  <c r="C34" i="13" s="1"/>
  <c r="F34" i="13"/>
  <c r="S14" i="13"/>
  <c r="M14" i="13"/>
  <c r="V14" i="13" s="1"/>
  <c r="E14" i="13" s="1"/>
  <c r="M32" i="10"/>
  <c r="V32" i="10" s="1"/>
  <c r="S32" i="10"/>
  <c r="C10" i="14"/>
  <c r="M32" i="14"/>
  <c r="V32" i="14" s="1"/>
  <c r="E32" i="14" s="1"/>
  <c r="S32" i="14"/>
  <c r="E6" i="10"/>
  <c r="S6" i="10"/>
  <c r="M6" i="10"/>
  <c r="G6" i="10"/>
  <c r="C8" i="12"/>
  <c r="F21" i="9"/>
  <c r="C27" i="9"/>
  <c r="G27" i="9" s="1"/>
  <c r="E9" i="10"/>
  <c r="E17" i="9"/>
  <c r="G17" i="9" s="1"/>
  <c r="F9" i="9"/>
  <c r="F25" i="8"/>
  <c r="E27" i="9"/>
  <c r="S8" i="10"/>
  <c r="M8" i="10"/>
  <c r="V8" i="10" s="1"/>
  <c r="V13" i="7"/>
  <c r="E32" i="8"/>
  <c r="I31" i="8"/>
  <c r="H31" i="8"/>
  <c r="D25" i="10"/>
  <c r="G34" i="7"/>
  <c r="G27" i="7"/>
  <c r="V26" i="6"/>
  <c r="F26" i="6" s="1"/>
  <c r="F31" i="5"/>
  <c r="M37" i="8"/>
  <c r="I11" i="15" s="1"/>
  <c r="V6" i="8"/>
  <c r="E23" i="5"/>
  <c r="E24" i="4"/>
  <c r="G24" i="4" s="1"/>
  <c r="G32" i="3"/>
  <c r="H15" i="3"/>
  <c r="I15" i="3"/>
  <c r="D17" i="5"/>
  <c r="G6" i="6"/>
  <c r="S32" i="5"/>
  <c r="F32" i="5"/>
  <c r="M32" i="5"/>
  <c r="S31" i="3"/>
  <c r="M31" i="3"/>
  <c r="V31" i="3" s="1"/>
  <c r="D27" i="6"/>
  <c r="G27" i="6" s="1"/>
  <c r="E14" i="4"/>
  <c r="G14" i="4" s="1"/>
  <c r="V35" i="4"/>
  <c r="E9" i="6"/>
  <c r="F8" i="11"/>
  <c r="S20" i="8"/>
  <c r="M20" i="8"/>
  <c r="V27" i="7"/>
  <c r="D28" i="7"/>
  <c r="M36" i="4"/>
  <c r="S36" i="4"/>
  <c r="E36" i="4"/>
  <c r="D36" i="4"/>
  <c r="M23" i="4"/>
  <c r="V23" i="4" s="1"/>
  <c r="S23" i="4"/>
  <c r="V30" i="3"/>
  <c r="C30" i="3" s="1"/>
  <c r="S22" i="4"/>
  <c r="M22" i="4"/>
  <c r="V22" i="4" s="1"/>
  <c r="M9" i="5"/>
  <c r="V9" i="5" s="1"/>
  <c r="E9" i="5" s="1"/>
  <c r="S9" i="5"/>
  <c r="F6" i="3"/>
  <c r="D10" i="7"/>
  <c r="G24" i="3"/>
  <c r="I7" i="7"/>
  <c r="H7" i="7"/>
  <c r="F9" i="6"/>
  <c r="F17" i="5"/>
  <c r="D8" i="11"/>
  <c r="M14" i="12"/>
  <c r="S14" i="12"/>
  <c r="G14" i="12"/>
  <c r="V32" i="12"/>
  <c r="F32" i="12" s="1"/>
  <c r="I17" i="11"/>
  <c r="H17" i="11"/>
  <c r="S18" i="10"/>
  <c r="C18" i="10"/>
  <c r="M18" i="10"/>
  <c r="V18" i="10" s="1"/>
  <c r="F18" i="10" s="1"/>
  <c r="E12" i="9"/>
  <c r="D12" i="9"/>
  <c r="C12" i="9"/>
  <c r="F12" i="9"/>
  <c r="V10" i="10"/>
  <c r="E10" i="10" s="1"/>
  <c r="S10" i="10"/>
  <c r="M10" i="10"/>
  <c r="F10" i="10"/>
  <c r="D9" i="10"/>
  <c r="H30" i="9"/>
  <c r="I30" i="9"/>
  <c r="D6" i="9"/>
  <c r="H36" i="8"/>
  <c r="I36" i="8"/>
  <c r="S13" i="10"/>
  <c r="M13" i="10"/>
  <c r="S34" i="5"/>
  <c r="M34" i="5"/>
  <c r="F34" i="5"/>
  <c r="E34" i="5"/>
  <c r="G34" i="5" s="1"/>
  <c r="D34" i="5"/>
  <c r="I26" i="4"/>
  <c r="H26" i="4"/>
  <c r="E10" i="9"/>
  <c r="D31" i="7"/>
  <c r="C27" i="7"/>
  <c r="D26" i="6"/>
  <c r="E28" i="7"/>
  <c r="S29" i="3"/>
  <c r="M29" i="3"/>
  <c r="V29" i="3"/>
  <c r="H25" i="4"/>
  <c r="I25" i="4"/>
  <c r="E8" i="4"/>
  <c r="C8" i="4"/>
  <c r="F8" i="4"/>
  <c r="D8" i="4"/>
  <c r="S18" i="3"/>
  <c r="M18" i="3"/>
  <c r="E6" i="3"/>
  <c r="M25" i="5"/>
  <c r="S25" i="5"/>
  <c r="F10" i="3"/>
  <c r="D10" i="3"/>
  <c r="G10" i="3" s="1"/>
  <c r="S12" i="6"/>
  <c r="M12" i="6"/>
  <c r="V12" i="6" s="1"/>
  <c r="M16" i="6"/>
  <c r="S16" i="6"/>
  <c r="I33" i="4"/>
  <c r="H33" i="4"/>
  <c r="E34" i="3"/>
  <c r="D16" i="6"/>
  <c r="V25" i="5"/>
  <c r="E29" i="3"/>
  <c r="S11" i="6"/>
  <c r="M11" i="6"/>
  <c r="V11" i="6" s="1"/>
  <c r="S12" i="4"/>
  <c r="V12" i="4"/>
  <c r="M12" i="4"/>
  <c r="G12" i="4"/>
  <c r="C18" i="3"/>
  <c r="F27" i="6"/>
  <c r="M18" i="14"/>
  <c r="V18" i="14" s="1"/>
  <c r="S18" i="14"/>
  <c r="S18" i="12"/>
  <c r="M18" i="12"/>
  <c r="V18" i="12" s="1"/>
  <c r="S14" i="9"/>
  <c r="M14" i="9"/>
  <c r="V14" i="9" s="1"/>
  <c r="S30" i="9"/>
  <c r="M30" i="9"/>
  <c r="E30" i="9"/>
  <c r="S34" i="8"/>
  <c r="M34" i="8"/>
  <c r="E31" i="7"/>
  <c r="G31" i="7" s="1"/>
  <c r="M23" i="6"/>
  <c r="S23" i="6"/>
  <c r="V22" i="5"/>
  <c r="F22" i="5" s="1"/>
  <c r="S22" i="5"/>
  <c r="M22" i="5"/>
  <c r="H28" i="7"/>
  <c r="I28" i="7"/>
  <c r="H34" i="4"/>
  <c r="I34" i="4"/>
  <c r="S16" i="4"/>
  <c r="M16" i="4"/>
  <c r="V16" i="4" s="1"/>
  <c r="S30" i="4"/>
  <c r="M30" i="4"/>
  <c r="V30" i="4" s="1"/>
  <c r="S7" i="6"/>
  <c r="M7" i="6"/>
  <c r="S35" i="3"/>
  <c r="M35" i="3"/>
  <c r="G35" i="3"/>
  <c r="F35" i="3"/>
  <c r="V35" i="3"/>
  <c r="H20" i="5"/>
  <c r="I20" i="5"/>
  <c r="V8" i="11"/>
  <c r="E8" i="11" s="1"/>
  <c r="S7" i="5"/>
  <c r="M7" i="5"/>
  <c r="S33" i="11"/>
  <c r="M33" i="11"/>
  <c r="D33" i="11"/>
  <c r="I10" i="14"/>
  <c r="H10" i="14"/>
  <c r="S28" i="12"/>
  <c r="M28" i="12"/>
  <c r="C28" i="12"/>
  <c r="V14" i="12"/>
  <c r="F9" i="10"/>
  <c r="E6" i="9"/>
  <c r="E23" i="9"/>
  <c r="E12" i="7"/>
  <c r="C12" i="7"/>
  <c r="G12" i="7" s="1"/>
  <c r="F12" i="7"/>
  <c r="S25" i="10"/>
  <c r="M25" i="10"/>
  <c r="V25" i="10" s="1"/>
  <c r="E25" i="10" s="1"/>
  <c r="M11" i="7"/>
  <c r="V11" i="7" s="1"/>
  <c r="S11" i="7"/>
  <c r="C34" i="5"/>
  <c r="S21" i="11"/>
  <c r="M21" i="11"/>
  <c r="C22" i="7"/>
  <c r="G22" i="7" s="1"/>
  <c r="I15" i="12"/>
  <c r="H15" i="12"/>
  <c r="G21" i="13"/>
  <c r="E18" i="14"/>
  <c r="I32" i="13"/>
  <c r="H32" i="13"/>
  <c r="V33" i="11"/>
  <c r="F10" i="14"/>
  <c r="V28" i="12"/>
  <c r="S15" i="11"/>
  <c r="M15" i="11"/>
  <c r="V15" i="11" s="1"/>
  <c r="S25" i="11"/>
  <c r="C25" i="11"/>
  <c r="M25" i="11"/>
  <c r="V25" i="11" s="1"/>
  <c r="F25" i="11" s="1"/>
  <c r="H17" i="14"/>
  <c r="I17" i="14"/>
  <c r="S12" i="12"/>
  <c r="M12" i="12"/>
  <c r="I35" i="10"/>
  <c r="H35" i="10"/>
  <c r="M22" i="10"/>
  <c r="V22" i="10" s="1"/>
  <c r="S22" i="10"/>
  <c r="D18" i="10"/>
  <c r="V16" i="10"/>
  <c r="E16" i="10" s="1"/>
  <c r="M17" i="11"/>
  <c r="S17" i="11"/>
  <c r="V17" i="11"/>
  <c r="E17" i="11"/>
  <c r="M12" i="10"/>
  <c r="S12" i="10"/>
  <c r="C12" i="10"/>
  <c r="V12" i="10"/>
  <c r="G13" i="9"/>
  <c r="C11" i="11"/>
  <c r="V24" i="10"/>
  <c r="C24" i="10" s="1"/>
  <c r="F30" i="9"/>
  <c r="G23" i="9"/>
  <c r="M35" i="8"/>
  <c r="V35" i="8" s="1"/>
  <c r="D35" i="8"/>
  <c r="C35" i="8"/>
  <c r="S35" i="8"/>
  <c r="H8" i="9"/>
  <c r="I8" i="9"/>
  <c r="H35" i="7"/>
  <c r="I35" i="7"/>
  <c r="D12" i="7"/>
  <c r="V13" i="10"/>
  <c r="V34" i="8"/>
  <c r="C34" i="8" s="1"/>
  <c r="C29" i="7"/>
  <c r="D29" i="7"/>
  <c r="F29" i="7"/>
  <c r="E29" i="7"/>
  <c r="S20" i="9"/>
  <c r="M20" i="9"/>
  <c r="V20" i="9" s="1"/>
  <c r="M23" i="8"/>
  <c r="S23" i="8"/>
  <c r="V23" i="8"/>
  <c r="S30" i="6"/>
  <c r="M30" i="6"/>
  <c r="G10" i="9"/>
  <c r="V21" i="11"/>
  <c r="E21" i="11" s="1"/>
  <c r="E20" i="8"/>
  <c r="S35" i="5"/>
  <c r="M35" i="5"/>
  <c r="V35" i="5" s="1"/>
  <c r="D22" i="7"/>
  <c r="F28" i="7"/>
  <c r="V16" i="5"/>
  <c r="E16" i="5" s="1"/>
  <c r="S34" i="4"/>
  <c r="M34" i="4"/>
  <c r="V34" i="4"/>
  <c r="C34" i="4"/>
  <c r="F34" i="4"/>
  <c r="D34" i="4"/>
  <c r="I9" i="3"/>
  <c r="H9" i="3"/>
  <c r="C35" i="3"/>
  <c r="I14" i="3"/>
  <c r="H14" i="3"/>
  <c r="S7" i="3"/>
  <c r="M7" i="3"/>
  <c r="S15" i="4"/>
  <c r="M15" i="4"/>
  <c r="V15" i="4" s="1"/>
  <c r="S29" i="5"/>
  <c r="M29" i="5"/>
  <c r="V29" i="5" s="1"/>
  <c r="S27" i="4"/>
  <c r="M27" i="4"/>
  <c r="V27" i="4" s="1"/>
  <c r="I36" i="6"/>
  <c r="H36" i="6"/>
  <c r="D7" i="4"/>
  <c r="E7" i="4"/>
  <c r="C7" i="4"/>
  <c r="F7" i="4"/>
  <c r="V10" i="7"/>
  <c r="C14" i="6"/>
  <c r="H8" i="6"/>
  <c r="I8" i="6"/>
  <c r="C8" i="11"/>
  <c r="D25" i="5"/>
  <c r="I32" i="4"/>
  <c r="H32" i="4"/>
  <c r="F27" i="4" l="1"/>
  <c r="D27" i="4"/>
  <c r="C27" i="4"/>
  <c r="G27" i="4" s="1"/>
  <c r="E27" i="4"/>
  <c r="E22" i="14"/>
  <c r="F22" i="14"/>
  <c r="D22" i="14"/>
  <c r="C22" i="14"/>
  <c r="F29" i="5"/>
  <c r="E29" i="5"/>
  <c r="C29" i="5"/>
  <c r="G29" i="5" s="1"/>
  <c r="D29" i="5"/>
  <c r="E23" i="4"/>
  <c r="C23" i="4"/>
  <c r="F23" i="4"/>
  <c r="D23" i="4"/>
  <c r="I24" i="4"/>
  <c r="H24" i="4"/>
  <c r="I29" i="11"/>
  <c r="H29" i="11"/>
  <c r="F28" i="14"/>
  <c r="E28" i="14"/>
  <c r="D28" i="14"/>
  <c r="C28" i="14"/>
  <c r="F30" i="4"/>
  <c r="C30" i="4"/>
  <c r="D30" i="4"/>
  <c r="E30" i="4"/>
  <c r="I21" i="9"/>
  <c r="H21" i="9"/>
  <c r="G32" i="6"/>
  <c r="H27" i="3"/>
  <c r="I27" i="3"/>
  <c r="H17" i="7"/>
  <c r="I17" i="7"/>
  <c r="C15" i="11"/>
  <c r="E15" i="11"/>
  <c r="D15" i="11"/>
  <c r="F15" i="11"/>
  <c r="D16" i="4"/>
  <c r="E16" i="4"/>
  <c r="C16" i="4"/>
  <c r="F16" i="4"/>
  <c r="I14" i="4"/>
  <c r="H14" i="4"/>
  <c r="E34" i="12"/>
  <c r="D34" i="12"/>
  <c r="F34" i="12"/>
  <c r="C34" i="12"/>
  <c r="G34" i="12" s="1"/>
  <c r="F15" i="4"/>
  <c r="D15" i="4"/>
  <c r="E15" i="4"/>
  <c r="C15" i="4"/>
  <c r="G15" i="4" s="1"/>
  <c r="I27" i="6"/>
  <c r="H27" i="6"/>
  <c r="E35" i="14"/>
  <c r="F35" i="14"/>
  <c r="C35" i="14"/>
  <c r="D35" i="14"/>
  <c r="C16" i="13"/>
  <c r="D16" i="13"/>
  <c r="E16" i="13"/>
  <c r="F16" i="13"/>
  <c r="I31" i="7"/>
  <c r="H31" i="7"/>
  <c r="I24" i="6"/>
  <c r="H24" i="6"/>
  <c r="E22" i="10"/>
  <c r="F22" i="10"/>
  <c r="C22" i="10"/>
  <c r="G22" i="10" s="1"/>
  <c r="D22" i="10"/>
  <c r="E12" i="14"/>
  <c r="F12" i="14"/>
  <c r="C12" i="14"/>
  <c r="G12" i="14" s="1"/>
  <c r="D12" i="14"/>
  <c r="D10" i="13"/>
  <c r="F10" i="13"/>
  <c r="E10" i="13"/>
  <c r="C10" i="13"/>
  <c r="E21" i="4"/>
  <c r="D21" i="4"/>
  <c r="F21" i="4"/>
  <c r="C21" i="4"/>
  <c r="C24" i="13"/>
  <c r="F24" i="13"/>
  <c r="E24" i="13"/>
  <c r="D24" i="13"/>
  <c r="E11" i="7"/>
  <c r="D11" i="7"/>
  <c r="C11" i="7"/>
  <c r="G11" i="7" s="1"/>
  <c r="F11" i="7"/>
  <c r="I13" i="13"/>
  <c r="H13" i="13"/>
  <c r="E20" i="9"/>
  <c r="F20" i="9"/>
  <c r="D20" i="9"/>
  <c r="C20" i="9"/>
  <c r="C14" i="9"/>
  <c r="F14" i="9"/>
  <c r="E14" i="9"/>
  <c r="D14" i="9"/>
  <c r="I10" i="3"/>
  <c r="H10" i="3"/>
  <c r="I34" i="5"/>
  <c r="H34" i="5"/>
  <c r="E26" i="11"/>
  <c r="D26" i="11"/>
  <c r="F26" i="11"/>
  <c r="C26" i="11"/>
  <c r="I33" i="7"/>
  <c r="H33" i="7"/>
  <c r="I27" i="14"/>
  <c r="H27" i="14"/>
  <c r="I17" i="9"/>
  <c r="H17" i="9"/>
  <c r="I23" i="12"/>
  <c r="H23" i="12"/>
  <c r="F14" i="14"/>
  <c r="E14" i="14"/>
  <c r="D14" i="14"/>
  <c r="C14" i="14"/>
  <c r="E20" i="6"/>
  <c r="C20" i="6"/>
  <c r="D20" i="6"/>
  <c r="F20" i="6"/>
  <c r="F13" i="11"/>
  <c r="D13" i="11"/>
  <c r="C13" i="11"/>
  <c r="E13" i="11"/>
  <c r="G10" i="5"/>
  <c r="F35" i="5"/>
  <c r="E35" i="5"/>
  <c r="D35" i="5"/>
  <c r="C35" i="5"/>
  <c r="G35" i="5" s="1"/>
  <c r="E18" i="12"/>
  <c r="C18" i="12"/>
  <c r="D18" i="12"/>
  <c r="F18" i="12"/>
  <c r="E32" i="10"/>
  <c r="D32" i="10"/>
  <c r="F32" i="10"/>
  <c r="C32" i="10"/>
  <c r="G32" i="10" s="1"/>
  <c r="C27" i="13"/>
  <c r="F27" i="13"/>
  <c r="E27" i="13"/>
  <c r="D27" i="13"/>
  <c r="D32" i="7"/>
  <c r="F32" i="7"/>
  <c r="E32" i="7"/>
  <c r="C32" i="7"/>
  <c r="G32" i="7" s="1"/>
  <c r="C14" i="10"/>
  <c r="F14" i="10"/>
  <c r="E14" i="10"/>
  <c r="D14" i="10"/>
  <c r="C11" i="3"/>
  <c r="E11" i="3"/>
  <c r="F11" i="3"/>
  <c r="D11" i="3"/>
  <c r="G19" i="9"/>
  <c r="I29" i="14"/>
  <c r="H29" i="14"/>
  <c r="C28" i="10"/>
  <c r="E28" i="10"/>
  <c r="F28" i="10"/>
  <c r="D28" i="10"/>
  <c r="D15" i="13"/>
  <c r="F15" i="13"/>
  <c r="E15" i="13"/>
  <c r="C15" i="13"/>
  <c r="G15" i="13" s="1"/>
  <c r="D19" i="3"/>
  <c r="E19" i="3"/>
  <c r="C19" i="3"/>
  <c r="F19" i="3"/>
  <c r="C28" i="13"/>
  <c r="F28" i="13"/>
  <c r="E28" i="13"/>
  <c r="D28" i="13"/>
  <c r="F18" i="6"/>
  <c r="C18" i="6"/>
  <c r="G7" i="4"/>
  <c r="D10" i="5"/>
  <c r="G9" i="10"/>
  <c r="F28" i="8"/>
  <c r="E29" i="8"/>
  <c r="D29" i="8"/>
  <c r="C29" i="8"/>
  <c r="F29" i="8"/>
  <c r="E35" i="11"/>
  <c r="G7" i="9"/>
  <c r="F30" i="3"/>
  <c r="D31" i="9"/>
  <c r="G31" i="9" s="1"/>
  <c r="H7" i="12"/>
  <c r="I7" i="12"/>
  <c r="H8" i="14"/>
  <c r="I8" i="14"/>
  <c r="D20" i="11"/>
  <c r="I27" i="10"/>
  <c r="H27" i="10"/>
  <c r="D18" i="3"/>
  <c r="I21" i="6"/>
  <c r="H21" i="6"/>
  <c r="D13" i="5"/>
  <c r="D14" i="5"/>
  <c r="I30" i="14"/>
  <c r="H30" i="14"/>
  <c r="G28" i="9"/>
  <c r="E20" i="11"/>
  <c r="G27" i="8"/>
  <c r="F21" i="11"/>
  <c r="G21" i="10"/>
  <c r="I25" i="14"/>
  <c r="H25" i="14"/>
  <c r="H16" i="12"/>
  <c r="I16" i="12"/>
  <c r="I10" i="9"/>
  <c r="H10" i="9"/>
  <c r="F35" i="8"/>
  <c r="E35" i="8"/>
  <c r="G35" i="8" s="1"/>
  <c r="H35" i="3"/>
  <c r="I35" i="3"/>
  <c r="D17" i="3"/>
  <c r="G17" i="3" s="1"/>
  <c r="I6" i="10"/>
  <c r="H6" i="10"/>
  <c r="M37" i="3"/>
  <c r="I6" i="15" s="1"/>
  <c r="M37" i="7"/>
  <c r="I10" i="15" s="1"/>
  <c r="V8" i="7"/>
  <c r="I33" i="3"/>
  <c r="H33" i="3"/>
  <c r="E13" i="5"/>
  <c r="G13" i="5" s="1"/>
  <c r="G17" i="5"/>
  <c r="I9" i="6"/>
  <c r="H9" i="6"/>
  <c r="D31" i="5"/>
  <c r="C31" i="5"/>
  <c r="G31" i="5" s="1"/>
  <c r="E10" i="12"/>
  <c r="G10" i="12" s="1"/>
  <c r="H8" i="8"/>
  <c r="I8" i="8"/>
  <c r="E13" i="12"/>
  <c r="F19" i="11"/>
  <c r="D32" i="6"/>
  <c r="G23" i="5"/>
  <c r="C28" i="5"/>
  <c r="G28" i="5" s="1"/>
  <c r="I11" i="13"/>
  <c r="H11" i="13"/>
  <c r="F13" i="5"/>
  <c r="E28" i="8"/>
  <c r="C36" i="14"/>
  <c r="E18" i="10"/>
  <c r="G18" i="10" s="1"/>
  <c r="H34" i="9"/>
  <c r="I34" i="9"/>
  <c r="M37" i="12"/>
  <c r="I15" i="15" s="1"/>
  <c r="G22" i="11"/>
  <c r="D9" i="5"/>
  <c r="H35" i="4"/>
  <c r="I35" i="4"/>
  <c r="G8" i="11"/>
  <c r="G29" i="7"/>
  <c r="I23" i="9"/>
  <c r="H23" i="9"/>
  <c r="H22" i="7"/>
  <c r="I22" i="7"/>
  <c r="E32" i="12"/>
  <c r="D32" i="12"/>
  <c r="I6" i="6"/>
  <c r="H6" i="6"/>
  <c r="D8" i="10"/>
  <c r="F8" i="10"/>
  <c r="E8" i="10"/>
  <c r="C8" i="10"/>
  <c r="G8" i="10" s="1"/>
  <c r="M37" i="10"/>
  <c r="I13" i="15" s="1"/>
  <c r="H24" i="14"/>
  <c r="I24" i="14"/>
  <c r="G29" i="4"/>
  <c r="G30" i="5"/>
  <c r="G6" i="3"/>
  <c r="E18" i="3"/>
  <c r="G18" i="3" s="1"/>
  <c r="E15" i="10"/>
  <c r="D15" i="10"/>
  <c r="F30" i="10"/>
  <c r="D30" i="10"/>
  <c r="E30" i="10"/>
  <c r="C30" i="10"/>
  <c r="G30" i="10" s="1"/>
  <c r="F10" i="12"/>
  <c r="C25" i="6"/>
  <c r="G25" i="6" s="1"/>
  <c r="F13" i="12"/>
  <c r="F28" i="5"/>
  <c r="H25" i="9"/>
  <c r="I25" i="9"/>
  <c r="G26" i="14"/>
  <c r="G7" i="10"/>
  <c r="G20" i="12"/>
  <c r="G23" i="10"/>
  <c r="D36" i="14"/>
  <c r="G17" i="13"/>
  <c r="I21" i="5"/>
  <c r="H21" i="5"/>
  <c r="D22" i="4"/>
  <c r="E22" i="4"/>
  <c r="C13" i="12"/>
  <c r="G13" i="12" s="1"/>
  <c r="F34" i="8"/>
  <c r="G34" i="8" s="1"/>
  <c r="D34" i="8"/>
  <c r="E34" i="8"/>
  <c r="I14" i="12"/>
  <c r="H14" i="12"/>
  <c r="H27" i="7"/>
  <c r="I27" i="7"/>
  <c r="D14" i="13"/>
  <c r="C14" i="13"/>
  <c r="F14" i="13"/>
  <c r="M37" i="9"/>
  <c r="I12" i="15" s="1"/>
  <c r="F11" i="11"/>
  <c r="D11" i="11"/>
  <c r="G11" i="11" s="1"/>
  <c r="C19" i="11"/>
  <c r="C9" i="5"/>
  <c r="I10" i="6"/>
  <c r="H10" i="6"/>
  <c r="I31" i="10"/>
  <c r="H31" i="10"/>
  <c r="H36" i="9"/>
  <c r="I36" i="9"/>
  <c r="I8" i="5"/>
  <c r="H8" i="5"/>
  <c r="E14" i="6"/>
  <c r="G14" i="6" s="1"/>
  <c r="F11" i="12"/>
  <c r="I29" i="13"/>
  <c r="H29" i="13"/>
  <c r="H28" i="4"/>
  <c r="I28" i="4"/>
  <c r="I17" i="6"/>
  <c r="H17" i="6"/>
  <c r="F16" i="5"/>
  <c r="E35" i="9"/>
  <c r="C35" i="9"/>
  <c r="G35" i="9" s="1"/>
  <c r="G12" i="11"/>
  <c r="C20" i="11"/>
  <c r="G20" i="11" s="1"/>
  <c r="I12" i="4"/>
  <c r="H12" i="4"/>
  <c r="D24" i="7"/>
  <c r="F24" i="7"/>
  <c r="G15" i="10"/>
  <c r="C12" i="6"/>
  <c r="G12" i="6" s="1"/>
  <c r="F12" i="6"/>
  <c r="D12" i="6"/>
  <c r="E12" i="6"/>
  <c r="D23" i="8"/>
  <c r="F23" i="8"/>
  <c r="E23" i="8"/>
  <c r="C23" i="8"/>
  <c r="M37" i="6"/>
  <c r="I9" i="15" s="1"/>
  <c r="F14" i="5"/>
  <c r="C22" i="4"/>
  <c r="H34" i="7"/>
  <c r="I34" i="7"/>
  <c r="D35" i="9"/>
  <c r="M37" i="4"/>
  <c r="I7" i="15" s="1"/>
  <c r="V6" i="4"/>
  <c r="F33" i="6"/>
  <c r="H36" i="11"/>
  <c r="I36" i="11"/>
  <c r="D30" i="3"/>
  <c r="C25" i="3"/>
  <c r="E25" i="3"/>
  <c r="F25" i="3"/>
  <c r="D25" i="3"/>
  <c r="E30" i="3"/>
  <c r="G30" i="3" s="1"/>
  <c r="D18" i="6"/>
  <c r="G24" i="9"/>
  <c r="V6" i="12"/>
  <c r="I9" i="12"/>
  <c r="H9" i="12"/>
  <c r="G7" i="8"/>
  <c r="H22" i="13"/>
  <c r="I22" i="13"/>
  <c r="E19" i="6"/>
  <c r="C26" i="9"/>
  <c r="G18" i="11"/>
  <c r="E36" i="14"/>
  <c r="C23" i="13"/>
  <c r="C11" i="12"/>
  <c r="I22" i="8"/>
  <c r="H22" i="8"/>
  <c r="G19" i="12"/>
  <c r="I9" i="13"/>
  <c r="H9" i="13"/>
  <c r="I35" i="6"/>
  <c r="H35" i="6"/>
  <c r="I19" i="14"/>
  <c r="H19" i="14"/>
  <c r="C22" i="5"/>
  <c r="F34" i="14"/>
  <c r="E34" i="14"/>
  <c r="G34" i="14" s="1"/>
  <c r="D16" i="5"/>
  <c r="M37" i="5"/>
  <c r="I8" i="15" s="1"/>
  <c r="V7" i="5"/>
  <c r="C11" i="6"/>
  <c r="F11" i="6"/>
  <c r="D11" i="6"/>
  <c r="E11" i="6"/>
  <c r="G8" i="4"/>
  <c r="G12" i="9"/>
  <c r="I24" i="3"/>
  <c r="H24" i="3"/>
  <c r="I9" i="9"/>
  <c r="H9" i="9"/>
  <c r="G30" i="8"/>
  <c r="D10" i="10"/>
  <c r="D16" i="7"/>
  <c r="G16" i="7" s="1"/>
  <c r="F34" i="11"/>
  <c r="E34" i="11"/>
  <c r="G34" i="11" s="1"/>
  <c r="D32" i="9"/>
  <c r="I15" i="8"/>
  <c r="H15" i="8"/>
  <c r="C14" i="5"/>
  <c r="G14" i="5" s="1"/>
  <c r="F26" i="9"/>
  <c r="G12" i="3"/>
  <c r="F24" i="12"/>
  <c r="G24" i="12" s="1"/>
  <c r="E24" i="7"/>
  <c r="D23" i="13"/>
  <c r="D11" i="12"/>
  <c r="G10" i="4"/>
  <c r="G33" i="14"/>
  <c r="H27" i="9"/>
  <c r="I27" i="9"/>
  <c r="H9" i="7"/>
  <c r="I9" i="7"/>
  <c r="H12" i="7"/>
  <c r="I12" i="7"/>
  <c r="C28" i="8"/>
  <c r="G28" i="8" s="1"/>
  <c r="D22" i="5"/>
  <c r="D21" i="11"/>
  <c r="E26" i="6"/>
  <c r="F9" i="5"/>
  <c r="G15" i="7"/>
  <c r="I29" i="3"/>
  <c r="H29" i="3"/>
  <c r="M37" i="13"/>
  <c r="I16" i="15" s="1"/>
  <c r="V6" i="13"/>
  <c r="E32" i="9"/>
  <c r="E11" i="9"/>
  <c r="G11" i="9" s="1"/>
  <c r="G34" i="6"/>
  <c r="H26" i="8"/>
  <c r="I26" i="8"/>
  <c r="H24" i="8"/>
  <c r="I24" i="8"/>
  <c r="H31" i="11"/>
  <c r="I31" i="11"/>
  <c r="I27" i="11"/>
  <c r="H27" i="11"/>
  <c r="G28" i="11"/>
  <c r="H23" i="7"/>
  <c r="I23" i="7"/>
  <c r="I25" i="8"/>
  <c r="H25" i="8"/>
  <c r="F10" i="5"/>
  <c r="E10" i="5"/>
  <c r="I13" i="14"/>
  <c r="H13" i="14"/>
  <c r="C32" i="11"/>
  <c r="E32" i="11"/>
  <c r="F32" i="11"/>
  <c r="I35" i="13"/>
  <c r="H35" i="13"/>
  <c r="G33" i="11"/>
  <c r="C30" i="7"/>
  <c r="E30" i="7"/>
  <c r="F30" i="7"/>
  <c r="D30" i="7"/>
  <c r="F12" i="12"/>
  <c r="D12" i="12"/>
  <c r="C12" i="12"/>
  <c r="E12" i="12"/>
  <c r="I13" i="9"/>
  <c r="H13" i="9"/>
  <c r="C32" i="9"/>
  <c r="G32" i="9" s="1"/>
  <c r="E33" i="11"/>
  <c r="F33" i="11"/>
  <c r="C20" i="8"/>
  <c r="C16" i="5"/>
  <c r="C23" i="3"/>
  <c r="E23" i="3"/>
  <c r="D23" i="3"/>
  <c r="E10" i="7"/>
  <c r="F10" i="7"/>
  <c r="C25" i="10"/>
  <c r="G25" i="10" s="1"/>
  <c r="C32" i="12"/>
  <c r="G32" i="12" s="1"/>
  <c r="E25" i="11"/>
  <c r="G25" i="11" s="1"/>
  <c r="E22" i="5"/>
  <c r="D18" i="14"/>
  <c r="C18" i="14"/>
  <c r="F18" i="14"/>
  <c r="C10" i="7"/>
  <c r="D20" i="8"/>
  <c r="C31" i="3"/>
  <c r="D31" i="3"/>
  <c r="F31" i="3"/>
  <c r="E31" i="3"/>
  <c r="D19" i="6"/>
  <c r="F32" i="14"/>
  <c r="D32" i="14"/>
  <c r="C32" i="14"/>
  <c r="E34" i="13"/>
  <c r="G34" i="13" s="1"/>
  <c r="D34" i="13"/>
  <c r="I13" i="7"/>
  <c r="H13" i="7"/>
  <c r="C10" i="10"/>
  <c r="I36" i="4"/>
  <c r="H36" i="4"/>
  <c r="I16" i="14"/>
  <c r="H16" i="14"/>
  <c r="I20" i="3"/>
  <c r="H20" i="3"/>
  <c r="G11" i="10"/>
  <c r="G14" i="11"/>
  <c r="M37" i="11"/>
  <c r="I14" i="15" s="1"/>
  <c r="V7" i="11"/>
  <c r="E20" i="14"/>
  <c r="G20" i="14" s="1"/>
  <c r="C33" i="6"/>
  <c r="G31" i="4"/>
  <c r="C21" i="11"/>
  <c r="G8" i="13"/>
  <c r="G33" i="8"/>
  <c r="D26" i="9"/>
  <c r="G9" i="8"/>
  <c r="G13" i="3"/>
  <c r="G15" i="14"/>
  <c r="H17" i="10"/>
  <c r="I17" i="10"/>
  <c r="I21" i="13"/>
  <c r="H21" i="13"/>
  <c r="F6" i="8"/>
  <c r="E6" i="8"/>
  <c r="D6" i="8"/>
  <c r="C6" i="8"/>
  <c r="G6" i="8" s="1"/>
  <c r="G18" i="9"/>
  <c r="I18" i="13"/>
  <c r="H18" i="13"/>
  <c r="C19" i="7"/>
  <c r="F19" i="7"/>
  <c r="E19" i="7"/>
  <c r="I22" i="12"/>
  <c r="H22" i="12"/>
  <c r="C16" i="10"/>
  <c r="D16" i="10"/>
  <c r="D24" i="10"/>
  <c r="E24" i="10"/>
  <c r="G24" i="10" s="1"/>
  <c r="D25" i="11"/>
  <c r="I32" i="3"/>
  <c r="H32" i="3"/>
  <c r="C24" i="7"/>
  <c r="C26" i="6"/>
  <c r="G26" i="6" s="1"/>
  <c r="V7" i="6"/>
  <c r="C19" i="6"/>
  <c r="H26" i="10"/>
  <c r="I26" i="10"/>
  <c r="G17" i="4"/>
  <c r="G34" i="3"/>
  <c r="D35" i="11"/>
  <c r="E18" i="6"/>
  <c r="G21" i="8"/>
  <c r="D33" i="6"/>
  <c r="G6" i="9"/>
  <c r="F22" i="4"/>
  <c r="G7" i="14"/>
  <c r="H26" i="13"/>
  <c r="I26" i="13"/>
  <c r="G25" i="7"/>
  <c r="F6" i="14"/>
  <c r="E6" i="14"/>
  <c r="D6" i="14"/>
  <c r="C6" i="14"/>
  <c r="G29" i="10"/>
  <c r="G18" i="7"/>
  <c r="G16" i="3"/>
  <c r="F30" i="13"/>
  <c r="G30" i="13" s="1"/>
  <c r="I34" i="8" l="1"/>
  <c r="H34" i="8"/>
  <c r="H16" i="7"/>
  <c r="I16" i="7"/>
  <c r="I30" i="13"/>
  <c r="H30" i="13"/>
  <c r="H34" i="13"/>
  <c r="I34" i="13"/>
  <c r="I24" i="12"/>
  <c r="H24" i="12"/>
  <c r="H31" i="9"/>
  <c r="I31" i="9"/>
  <c r="H11" i="9"/>
  <c r="I11" i="9"/>
  <c r="I10" i="12"/>
  <c r="H10" i="12"/>
  <c r="H20" i="14"/>
  <c r="I20" i="14"/>
  <c r="I25" i="11"/>
  <c r="H25" i="11"/>
  <c r="H30" i="3"/>
  <c r="I30" i="3"/>
  <c r="I11" i="11"/>
  <c r="H11" i="11"/>
  <c r="H34" i="14"/>
  <c r="I34" i="14"/>
  <c r="H24" i="10"/>
  <c r="I24" i="10"/>
  <c r="H18" i="3"/>
  <c r="I18" i="3"/>
  <c r="I35" i="8"/>
  <c r="H35" i="8"/>
  <c r="I14" i="6"/>
  <c r="H14" i="6"/>
  <c r="I34" i="11"/>
  <c r="H34" i="11"/>
  <c r="I13" i="5"/>
  <c r="H13" i="5"/>
  <c r="C7" i="5"/>
  <c r="E7" i="5"/>
  <c r="D7" i="5"/>
  <c r="F7" i="5"/>
  <c r="H12" i="14"/>
  <c r="I12" i="14"/>
  <c r="H28" i="8"/>
  <c r="I28" i="8"/>
  <c r="G19" i="6"/>
  <c r="I7" i="14"/>
  <c r="H7" i="14"/>
  <c r="H26" i="6"/>
  <c r="I26" i="6"/>
  <c r="G10" i="7"/>
  <c r="G6" i="14"/>
  <c r="H18" i="9"/>
  <c r="I18" i="9"/>
  <c r="H9" i="8"/>
  <c r="I9" i="8"/>
  <c r="G30" i="7"/>
  <c r="G11" i="6"/>
  <c r="G23" i="8"/>
  <c r="G19" i="11"/>
  <c r="H26" i="14"/>
  <c r="I26" i="14"/>
  <c r="I17" i="3"/>
  <c r="H17" i="3"/>
  <c r="G29" i="8"/>
  <c r="G11" i="3"/>
  <c r="G27" i="13"/>
  <c r="I7" i="8"/>
  <c r="H7" i="8"/>
  <c r="I6" i="3"/>
  <c r="H6" i="3"/>
  <c r="H17" i="5"/>
  <c r="I17" i="5"/>
  <c r="H17" i="4"/>
  <c r="I17" i="4"/>
  <c r="I28" i="9"/>
  <c r="H28" i="9"/>
  <c r="G13" i="11"/>
  <c r="G24" i="13"/>
  <c r="H15" i="4"/>
  <c r="I15" i="4"/>
  <c r="G16" i="4"/>
  <c r="I32" i="6"/>
  <c r="H32" i="6"/>
  <c r="H25" i="7"/>
  <c r="I25" i="7"/>
  <c r="G16" i="10"/>
  <c r="G21" i="11"/>
  <c r="I28" i="11"/>
  <c r="H28" i="11"/>
  <c r="H12" i="3"/>
  <c r="I12" i="3"/>
  <c r="G11" i="12"/>
  <c r="C6" i="12"/>
  <c r="G6" i="12" s="1"/>
  <c r="F6" i="12"/>
  <c r="E6" i="12"/>
  <c r="D6" i="12"/>
  <c r="D6" i="4"/>
  <c r="F6" i="4"/>
  <c r="E6" i="4"/>
  <c r="C6" i="4"/>
  <c r="G6" i="4" s="1"/>
  <c r="I29" i="4"/>
  <c r="H29" i="4"/>
  <c r="I9" i="10"/>
  <c r="H9" i="10"/>
  <c r="G28" i="10"/>
  <c r="G14" i="10"/>
  <c r="G37" i="10" s="1"/>
  <c r="C13" i="15" s="1"/>
  <c r="G21" i="4"/>
  <c r="G22" i="14"/>
  <c r="H33" i="11"/>
  <c r="I33" i="11"/>
  <c r="I32" i="12"/>
  <c r="H32" i="12"/>
  <c r="G23" i="13"/>
  <c r="I24" i="9"/>
  <c r="H24" i="9"/>
  <c r="G14" i="13"/>
  <c r="I25" i="6"/>
  <c r="H25" i="6"/>
  <c r="H32" i="7"/>
  <c r="I32" i="7"/>
  <c r="I22" i="10"/>
  <c r="H22" i="10"/>
  <c r="I19" i="12"/>
  <c r="H19" i="12"/>
  <c r="I34" i="3"/>
  <c r="H34" i="3"/>
  <c r="G28" i="13"/>
  <c r="H30" i="5"/>
  <c r="I30" i="5"/>
  <c r="G33" i="6"/>
  <c r="G12" i="12"/>
  <c r="G32" i="11"/>
  <c r="D6" i="13"/>
  <c r="C6" i="13"/>
  <c r="F6" i="13"/>
  <c r="E6" i="13"/>
  <c r="H14" i="5"/>
  <c r="I14" i="5"/>
  <c r="G22" i="5"/>
  <c r="F8" i="7"/>
  <c r="E8" i="7"/>
  <c r="C8" i="7"/>
  <c r="G8" i="7" s="1"/>
  <c r="D8" i="7"/>
  <c r="G19" i="3"/>
  <c r="G16" i="13"/>
  <c r="H27" i="8"/>
  <c r="I27" i="8"/>
  <c r="H31" i="4"/>
  <c r="I31" i="4"/>
  <c r="I12" i="9"/>
  <c r="H12" i="9"/>
  <c r="I12" i="6"/>
  <c r="H12" i="6"/>
  <c r="I17" i="13"/>
  <c r="H17" i="13"/>
  <c r="I30" i="10"/>
  <c r="H30" i="10"/>
  <c r="I7" i="4"/>
  <c r="H7" i="4"/>
  <c r="G18" i="12"/>
  <c r="I34" i="12"/>
  <c r="H34" i="12"/>
  <c r="I10" i="5"/>
  <c r="H10" i="5"/>
  <c r="I13" i="12"/>
  <c r="H13" i="12"/>
  <c r="G31" i="3"/>
  <c r="G23" i="3"/>
  <c r="H8" i="4"/>
  <c r="I8" i="4"/>
  <c r="I18" i="11"/>
  <c r="H18" i="11"/>
  <c r="I15" i="10"/>
  <c r="H15" i="10"/>
  <c r="I8" i="10"/>
  <c r="H8" i="10"/>
  <c r="I18" i="10"/>
  <c r="H18" i="10"/>
  <c r="I18" i="15"/>
  <c r="G18" i="6"/>
  <c r="H19" i="9"/>
  <c r="I19" i="9"/>
  <c r="G20" i="6"/>
  <c r="G10" i="13"/>
  <c r="G35" i="14"/>
  <c r="G30" i="4"/>
  <c r="G23" i="4"/>
  <c r="I28" i="5"/>
  <c r="H28" i="5"/>
  <c r="I25" i="10"/>
  <c r="H25" i="10"/>
  <c r="G10" i="10"/>
  <c r="G16" i="5"/>
  <c r="G26" i="9"/>
  <c r="G22" i="4"/>
  <c r="I23" i="10"/>
  <c r="H23" i="10"/>
  <c r="I29" i="7"/>
  <c r="H29" i="7"/>
  <c r="G36" i="14"/>
  <c r="I7" i="9"/>
  <c r="H7" i="9"/>
  <c r="I15" i="13"/>
  <c r="H15" i="13"/>
  <c r="H35" i="5"/>
  <c r="I35" i="5"/>
  <c r="I11" i="7"/>
  <c r="H11" i="7"/>
  <c r="G15" i="11"/>
  <c r="H27" i="4"/>
  <c r="I27" i="4"/>
  <c r="I6" i="8"/>
  <c r="H6" i="8"/>
  <c r="H20" i="11"/>
  <c r="I20" i="11"/>
  <c r="H12" i="11"/>
  <c r="I12" i="11"/>
  <c r="H13" i="3"/>
  <c r="I13" i="3"/>
  <c r="G18" i="14"/>
  <c r="I15" i="7"/>
  <c r="H15" i="7"/>
  <c r="G9" i="5"/>
  <c r="I20" i="12"/>
  <c r="H20" i="12"/>
  <c r="H8" i="11"/>
  <c r="I8" i="11"/>
  <c r="I31" i="5"/>
  <c r="H31" i="5"/>
  <c r="G35" i="11"/>
  <c r="G14" i="14"/>
  <c r="G14" i="9"/>
  <c r="G28" i="14"/>
  <c r="I32" i="9"/>
  <c r="H32" i="9"/>
  <c r="I32" i="10"/>
  <c r="H32" i="10"/>
  <c r="H29" i="5"/>
  <c r="I29" i="5"/>
  <c r="H33" i="8"/>
  <c r="I33" i="8"/>
  <c r="I30" i="8"/>
  <c r="H30" i="8"/>
  <c r="I22" i="11"/>
  <c r="H22" i="11"/>
  <c r="I8" i="13"/>
  <c r="H8" i="13"/>
  <c r="H34" i="6"/>
  <c r="I34" i="6"/>
  <c r="I35" i="9"/>
  <c r="H35" i="9"/>
  <c r="H23" i="5"/>
  <c r="I23" i="5"/>
  <c r="F7" i="6"/>
  <c r="D7" i="6"/>
  <c r="C7" i="6"/>
  <c r="G7" i="6" s="1"/>
  <c r="E7" i="6"/>
  <c r="C7" i="11"/>
  <c r="E7" i="11"/>
  <c r="F7" i="11"/>
  <c r="D7" i="11"/>
  <c r="I16" i="3"/>
  <c r="H16" i="3"/>
  <c r="G37" i="9"/>
  <c r="C12" i="15" s="1"/>
  <c r="H6" i="9"/>
  <c r="I6" i="9"/>
  <c r="G24" i="7"/>
  <c r="G19" i="7"/>
  <c r="I15" i="14"/>
  <c r="H15" i="14"/>
  <c r="I18" i="7"/>
  <c r="H18" i="7"/>
  <c r="I14" i="11"/>
  <c r="H14" i="11"/>
  <c r="G20" i="8"/>
  <c r="I33" i="14"/>
  <c r="H33" i="14"/>
  <c r="H29" i="10"/>
  <c r="I29" i="10"/>
  <c r="H21" i="8"/>
  <c r="I21" i="8"/>
  <c r="I11" i="10"/>
  <c r="H11" i="10"/>
  <c r="G32" i="14"/>
  <c r="I10" i="4"/>
  <c r="H10" i="4"/>
  <c r="G25" i="3"/>
  <c r="H7" i="10"/>
  <c r="I7" i="10"/>
  <c r="I21" i="10"/>
  <c r="H21" i="10"/>
  <c r="G26" i="11"/>
  <c r="G20" i="9"/>
  <c r="I28" i="13" l="1"/>
  <c r="H28" i="13"/>
  <c r="H35" i="11"/>
  <c r="I35" i="11"/>
  <c r="H7" i="6"/>
  <c r="I7" i="6"/>
  <c r="G37" i="6"/>
  <c r="C9" i="15" s="1"/>
  <c r="H24" i="7"/>
  <c r="I24" i="7"/>
  <c r="I9" i="5"/>
  <c r="H9" i="5"/>
  <c r="H28" i="10"/>
  <c r="I28" i="10"/>
  <c r="I14" i="9"/>
  <c r="D38" i="9" s="1"/>
  <c r="E12" i="15" s="1"/>
  <c r="H14" i="9"/>
  <c r="H36" i="14"/>
  <c r="I36" i="14"/>
  <c r="H14" i="13"/>
  <c r="I14" i="13"/>
  <c r="I11" i="12"/>
  <c r="H11" i="12"/>
  <c r="I23" i="8"/>
  <c r="H23" i="8"/>
  <c r="H20" i="8"/>
  <c r="H37" i="8" s="1"/>
  <c r="D11" i="15" s="1"/>
  <c r="I20" i="8"/>
  <c r="I37" i="8" s="1"/>
  <c r="F11" i="15" s="1"/>
  <c r="H13" i="11"/>
  <c r="I13" i="11"/>
  <c r="I18" i="12"/>
  <c r="H18" i="12"/>
  <c r="I22" i="4"/>
  <c r="H22" i="4"/>
  <c r="H20" i="6"/>
  <c r="I20" i="6"/>
  <c r="I21" i="11"/>
  <c r="H21" i="11"/>
  <c r="H29" i="8"/>
  <c r="I29" i="8"/>
  <c r="I14" i="14"/>
  <c r="H14" i="14"/>
  <c r="I30" i="7"/>
  <c r="H30" i="7"/>
  <c r="H25" i="3"/>
  <c r="I25" i="3"/>
  <c r="I35" i="14"/>
  <c r="H35" i="14"/>
  <c r="I11" i="3"/>
  <c r="I37" i="3" s="1"/>
  <c r="F6" i="15" s="1"/>
  <c r="H11" i="3"/>
  <c r="G6" i="13"/>
  <c r="H16" i="10"/>
  <c r="I16" i="10"/>
  <c r="I19" i="6"/>
  <c r="H19" i="6"/>
  <c r="I23" i="13"/>
  <c r="H23" i="13"/>
  <c r="H32" i="14"/>
  <c r="I32" i="14"/>
  <c r="I16" i="13"/>
  <c r="H16" i="13"/>
  <c r="G37" i="14"/>
  <c r="C17" i="15" s="1"/>
  <c r="I6" i="14"/>
  <c r="H6" i="14"/>
  <c r="I22" i="5"/>
  <c r="H22" i="5"/>
  <c r="H15" i="11"/>
  <c r="I15" i="11"/>
  <c r="I16" i="5"/>
  <c r="H16" i="5"/>
  <c r="I10" i="10"/>
  <c r="I37" i="10" s="1"/>
  <c r="F13" i="15" s="1"/>
  <c r="H10" i="10"/>
  <c r="H37" i="10" s="1"/>
  <c r="D13" i="15" s="1"/>
  <c r="H23" i="3"/>
  <c r="I23" i="3"/>
  <c r="I19" i="3"/>
  <c r="H19" i="3"/>
  <c r="I32" i="11"/>
  <c r="H32" i="11"/>
  <c r="H22" i="14"/>
  <c r="I22" i="14"/>
  <c r="I10" i="7"/>
  <c r="H10" i="7"/>
  <c r="H23" i="4"/>
  <c r="I23" i="4"/>
  <c r="H11" i="6"/>
  <c r="I11" i="6"/>
  <c r="I18" i="14"/>
  <c r="H18" i="14"/>
  <c r="I30" i="4"/>
  <c r="H30" i="4"/>
  <c r="H24" i="13"/>
  <c r="I24" i="13"/>
  <c r="I27" i="13"/>
  <c r="H27" i="13"/>
  <c r="H10" i="13"/>
  <c r="I10" i="13"/>
  <c r="G37" i="4"/>
  <c r="C7" i="15" s="1"/>
  <c r="I6" i="4"/>
  <c r="H6" i="4"/>
  <c r="I26" i="9"/>
  <c r="H26" i="9"/>
  <c r="I20" i="9"/>
  <c r="H20" i="9"/>
  <c r="H37" i="9" s="1"/>
  <c r="D12" i="15" s="1"/>
  <c r="G7" i="11"/>
  <c r="I18" i="6"/>
  <c r="H18" i="6"/>
  <c r="I26" i="11"/>
  <c r="H26" i="11"/>
  <c r="G37" i="8"/>
  <c r="C11" i="15" s="1"/>
  <c r="I31" i="3"/>
  <c r="H31" i="3"/>
  <c r="I12" i="12"/>
  <c r="H12" i="12"/>
  <c r="I21" i="4"/>
  <c r="H21" i="4"/>
  <c r="G7" i="5"/>
  <c r="I19" i="7"/>
  <c r="H19" i="7"/>
  <c r="H8" i="7"/>
  <c r="I8" i="7"/>
  <c r="G37" i="7"/>
  <c r="C10" i="15" s="1"/>
  <c r="I33" i="6"/>
  <c r="H33" i="6"/>
  <c r="H14" i="10"/>
  <c r="I14" i="10"/>
  <c r="D38" i="10" s="1"/>
  <c r="E13" i="15" s="1"/>
  <c r="H37" i="3"/>
  <c r="D6" i="15" s="1"/>
  <c r="H28" i="14"/>
  <c r="I28" i="14"/>
  <c r="I6" i="12"/>
  <c r="G37" i="12"/>
  <c r="C15" i="15" s="1"/>
  <c r="H6" i="12"/>
  <c r="I16" i="4"/>
  <c r="H16" i="4"/>
  <c r="G37" i="3"/>
  <c r="C6" i="15" s="1"/>
  <c r="I19" i="11"/>
  <c r="H19" i="11"/>
  <c r="H37" i="4" l="1"/>
  <c r="D7" i="15" s="1"/>
  <c r="D18" i="15" s="1"/>
  <c r="G37" i="13"/>
  <c r="C16" i="15" s="1"/>
  <c r="I6" i="13"/>
  <c r="H6" i="13"/>
  <c r="H37" i="13" s="1"/>
  <c r="D16" i="15" s="1"/>
  <c r="H37" i="6"/>
  <c r="D9" i="15" s="1"/>
  <c r="H37" i="14"/>
  <c r="D17" i="15" s="1"/>
  <c r="I37" i="6"/>
  <c r="F9" i="15" s="1"/>
  <c r="D38" i="6"/>
  <c r="E9" i="15" s="1"/>
  <c r="D38" i="4"/>
  <c r="E7" i="15" s="1"/>
  <c r="I37" i="4"/>
  <c r="F7" i="15" s="1"/>
  <c r="I37" i="9"/>
  <c r="F12" i="15" s="1"/>
  <c r="I37" i="14"/>
  <c r="F17" i="15" s="1"/>
  <c r="D38" i="14"/>
  <c r="E17" i="15" s="1"/>
  <c r="I37" i="12"/>
  <c r="F15" i="15" s="1"/>
  <c r="D38" i="12"/>
  <c r="E15" i="15" s="1"/>
  <c r="H37" i="12"/>
  <c r="D15" i="15" s="1"/>
  <c r="I37" i="7"/>
  <c r="F10" i="15" s="1"/>
  <c r="D38" i="7"/>
  <c r="E10" i="15" s="1"/>
  <c r="D38" i="8"/>
  <c r="E11" i="15" s="1"/>
  <c r="D38" i="3"/>
  <c r="E6" i="15" s="1"/>
  <c r="H37" i="7"/>
  <c r="D10" i="15" s="1"/>
  <c r="I7" i="5"/>
  <c r="H7" i="5"/>
  <c r="H37" i="5" s="1"/>
  <c r="D8" i="15" s="1"/>
  <c r="G37" i="5"/>
  <c r="C8" i="15" s="1"/>
  <c r="C18" i="15" s="1"/>
  <c r="I7" i="11"/>
  <c r="H7" i="11"/>
  <c r="H37" i="11" s="1"/>
  <c r="D14" i="15" s="1"/>
  <c r="G37" i="11"/>
  <c r="C14" i="15" s="1"/>
  <c r="F18" i="15" l="1"/>
  <c r="D38" i="11"/>
  <c r="E14" i="15" s="1"/>
  <c r="I37" i="11"/>
  <c r="F14" i="15" s="1"/>
  <c r="I37" i="13"/>
  <c r="F16" i="15" s="1"/>
  <c r="D38" i="13"/>
  <c r="E16" i="15" s="1"/>
  <c r="D38" i="5"/>
  <c r="E8" i="15" s="1"/>
  <c r="E18" i="15" s="1"/>
  <c r="I37" i="5"/>
  <c r="F8" i="15" s="1"/>
</calcChain>
</file>

<file path=xl/sharedStrings.xml><?xml version="1.0" encoding="utf-8"?>
<sst xmlns="http://schemas.openxmlformats.org/spreadsheetml/2006/main" count="539" uniqueCount="126">
  <si>
    <t>Předvolby výkazu — evidence pracovní doby 2027</t>
  </si>
  <si>
    <t>Dodio · správa firemních absencí na pár kliknutí</t>
  </si>
  <si>
    <t>Zaměstnanec</t>
  </si>
  <si>
    <t>Jméno a příjmení</t>
  </si>
  <si>
    <t>Zobrazí se v záhlaví každého měsíce.</t>
  </si>
  <si>
    <t>Společnost</t>
  </si>
  <si>
    <t>Název společnosti</t>
  </si>
  <si>
    <t>Rok evidence</t>
  </si>
  <si>
    <t>Pevně dáno názvy listů (01_2027 – 12_2027).</t>
  </si>
  <si>
    <t>Dovolená a limity</t>
  </si>
  <si>
    <t>Převod dovolené z loňského roku (dny)</t>
  </si>
  <si>
    <t>Nevyčerpané dny převedené z roku 2026.</t>
  </si>
  <si>
    <t>Roční fond dovolené (dny)</t>
  </si>
  <si>
    <t>Hodnota převzata ze vzoru 2026 — upravte dle smlouvy.</t>
  </si>
  <si>
    <t>Celkem dní k čerpání dovolené</t>
  </si>
  <si>
    <t>Vypočítá se automaticky.</t>
  </si>
  <si>
    <t>Limit Home Office (dny / rok)</t>
  </si>
  <si>
    <t>Hodnota převzata ze vzoru 2026.</t>
  </si>
  <si>
    <t>Limit Sick Day (dny / rok)</t>
  </si>
  <si>
    <t>Ve vzoru 2026 40 hodin = 5 dní po 8 h.</t>
  </si>
  <si>
    <t>Pracovní doba (výchozí pro všechny dny)</t>
  </si>
  <si>
    <t>Začátek práce</t>
  </si>
  <si>
    <t>Předvyplní sloupec „od“ v 1. bloku.</t>
  </si>
  <si>
    <t>Konec 1. bloku (začátek přestávky)</t>
  </si>
  <si>
    <t/>
  </si>
  <si>
    <t>Začátek 2. bloku (konec přestávky)</t>
  </si>
  <si>
    <t>Konec práce</t>
  </si>
  <si>
    <t>Denní fond pracovní doby (hodiny)</t>
  </si>
  <si>
    <t>Vypočítá se z časů výše (vzor: 8 h).</t>
  </si>
  <si>
    <t>Stravné</t>
  </si>
  <si>
    <t>Stravenkový paušál (Kč / den)</t>
  </si>
  <si>
    <t>Hodnota převzata ze vzoru 2026 — aktualizujte dle sazby pro rok 2027.</t>
  </si>
  <si>
    <t>Nárok na stravné od (odpracované hodiny)</t>
  </si>
  <si>
    <t>Vzor: nárok po odpracování 3 hodin.</t>
  </si>
  <si>
    <t>Legenda: žlutě podbarvené buňky s modrým písmem jsou vstupy k vyplnění. Ostatní hodnoty se dopočítávají a není třeba je měnit. Státní svátky jsou na listu SVATKY_2027.</t>
  </si>
  <si>
    <t>Bezplatná šablona Dodio</t>
  </si>
  <si>
    <t>Státní svátky 2027</t>
  </si>
  <si>
    <t>Datum</t>
  </si>
  <si>
    <t>Svátek</t>
  </si>
  <si>
    <t>Den</t>
  </si>
  <si>
    <t>Nový rok / Den obnovy samostatného českého státu</t>
  </si>
  <si>
    <t>Velký pátek</t>
  </si>
  <si>
    <t>Velikonoční pondělí</t>
  </si>
  <si>
    <t>Svátek práce</t>
  </si>
  <si>
    <t>Den vítězství</t>
  </si>
  <si>
    <t>Den slovanských věrozvěstů Cyrila a Metoděje</t>
  </si>
  <si>
    <t>Den upálení mistra Jana Husa</t>
  </si>
  <si>
    <t>Den české státnosti</t>
  </si>
  <si>
    <t>Den vzniku samostatného československého státu</t>
  </si>
  <si>
    <t>Den boje za svobodu a demokracii</t>
  </si>
  <si>
    <t>Štědrý den</t>
  </si>
  <si>
    <t>1. svátek vánoční</t>
  </si>
  <si>
    <t>2. svátek vánoční</t>
  </si>
  <si>
    <t>Volné řádky lze použít pro firemní volno (např. „sick day“ celé firmy). Každé datum v seznamu se v měsíčních listech automaticky označí jako svátek. Velikonoce 2027: neděle 28. 3. (Velký pátek 26. 3., Velikonoční pondělí 29. 3.).</t>
  </si>
  <si>
    <t>EVIDENCE PRACOVNÍ DOBY 2027</t>
  </si>
  <si>
    <t>OBDOBÍ</t>
  </si>
  <si>
    <t>Leden 2027</t>
  </si>
  <si>
    <t>JMÉNO:</t>
  </si>
  <si>
    <t>dne</t>
  </si>
  <si>
    <t>pracovní doba</t>
  </si>
  <si>
    <t>odpracováno celkem (h)</t>
  </si>
  <si>
    <t>z toho přesčas (h)</t>
  </si>
  <si>
    <t>stravné (Kč)</t>
  </si>
  <si>
    <t>SC / pracovní oběd / TMB</t>
  </si>
  <si>
    <t>neodpracované hodiny z důvodu</t>
  </si>
  <si>
    <t>Home Office</t>
  </si>
  <si>
    <t>Sick Day</t>
  </si>
  <si>
    <t>Poznámka</t>
  </si>
  <si>
    <t>pomocné sloupce (skryté)</t>
  </si>
  <si>
    <t>od</t>
  </si>
  <si>
    <t>do</t>
  </si>
  <si>
    <t>D</t>
  </si>
  <si>
    <t>N</t>
  </si>
  <si>
    <t>S</t>
  </si>
  <si>
    <t>§</t>
  </si>
  <si>
    <t>NV</t>
  </si>
  <si>
    <t>NEP</t>
  </si>
  <si>
    <t>typ dne</t>
  </si>
  <si>
    <t>podíl nepřítomnosti</t>
  </si>
  <si>
    <t>CELKEM ZA MĚSÍC</t>
  </si>
  <si>
    <t>Stravenky (ks)</t>
  </si>
  <si>
    <t xml:space="preserve">Cestovní účet: </t>
  </si>
  <si>
    <t>Podpis zaměstnance:</t>
  </si>
  <si>
    <t>Podpis vedoucího:</t>
  </si>
  <si>
    <t>D – dovolená, N – nemoc, S – státní svátek (doplní se automaticky), § – překážky v práci s náhradou mzdy (lékař, ošetření člena rodiny, darování krve, svatba, pohřeb, volno dle sociálního programu apod.), NV – náhradní volno, NEP – neplacené volno. Do sloupců D–NEP, Home Office a Sick Day zadávejte 1 (celý den), 0,5 (půl dne) nebo x. Víkendy a svátky se vyplní samy.</t>
  </si>
  <si>
    <t>Bezplatná šablona Dodio — správa firemních absencí na pár kliknutí</t>
  </si>
  <si>
    <t>Únor 2027</t>
  </si>
  <si>
    <t>Březen 2027</t>
  </si>
  <si>
    <t>Duben 2027</t>
  </si>
  <si>
    <t>Květen 2027</t>
  </si>
  <si>
    <t>Červen 2027</t>
  </si>
  <si>
    <t>Červenec 2027</t>
  </si>
  <si>
    <t>Srpen 2027</t>
  </si>
  <si>
    <t>Září 2027</t>
  </si>
  <si>
    <t>Říjen 2027</t>
  </si>
  <si>
    <t>Listopad 2027</t>
  </si>
  <si>
    <t>Prosinec 2027</t>
  </si>
  <si>
    <t>Roční přehled 2027 — evidence pracovní doby</t>
  </si>
  <si>
    <t>Měsíc</t>
  </si>
  <si>
    <t>Odpracováno (h)</t>
  </si>
  <si>
    <t>Přesčas (h)</t>
  </si>
  <si>
    <t>Stravné (Kč)</t>
  </si>
  <si>
    <t>Dovolená (D)</t>
  </si>
  <si>
    <t>Nemoc (N)</t>
  </si>
  <si>
    <t>Svátky (S)</t>
  </si>
  <si>
    <t>Náhr. volno (NV)</t>
  </si>
  <si>
    <t>Neplacené (NEP)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</si>
  <si>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</si>
  <si>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</si>
  <si>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</si>
  <si>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</si>
  <si>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</si>
  <si>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</si>
  <si>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</si>
  <si>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</si>
  <si>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</si>
  <si>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</si>
  <si>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</si>
  <si>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</si>
  <si>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CELKEM</t>
  </si>
  <si>
    <t>Zůstatky</t>
  </si>
  <si>
    <t>Nárok na dovolenou (vč. převodu)</t>
  </si>
  <si>
    <t>Vyčerpáno dovolené</t>
  </si>
  <si>
    <t>Zbývá dovolené (dny)</t>
  </si>
  <si>
    <t>Home Office: vyčerpáno / limit</t>
  </si>
  <si>
    <t>Sick Day: vyčerpáno /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</si>
</sst>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\.m\.yyyy"/>
    <numFmt numFmtId="166" formatCode="d\."/>
    <numFmt numFmtId="167" formatCode="0.0;\-0.0;&quot;-&quot;"/>
    <numFmt numFmtId="168" formatCode="0;\-0;&quot;-&quot;"/>
  </numFmts>
  <fonts count="2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FFFFFF"/>
      <name val="Arial"/>
    </font>
    <font>
      <b/>
      <sz val="10"/>
      <color rgb="FF085041"/>
      <name val="Arial"/>
    </font>
    <font>
      <sz val="10"/>
      <color rgb="FF2C2C2A"/>
      <name val="Arial"/>
    </font>
    <font>
      <b/>
      <sz val="10"/>
      <color rgb="FF0000FF"/>
      <name val="Arial"/>
    </font>
    <font>
      <i/>
      <sz val="8"/>
      <color rgb="FF6B6B66"/>
      <name val="Arial"/>
    </font>
    <font>
      <b/>
      <sz val="10"/>
      <color rgb="FF2C2C2A"/>
      <name val="Arial"/>
    </font>
    <font>
      <sz val="9"/>
      <color rgb="FF2C2C2A"/>
      <name val="Arial"/>
    </font>
    <font>
      <sz val="8"/>
      <color rgb="FF085041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8"/>
      <color rgb="FF2C2C2A"/>
      <name val="Arial"/>
    </font>
    <font>
      <b/>
      <sz val="15"/>
      <color rgb="FFFFFFFF"/>
      <name val="Arial"/>
    </font>
    <font>
      <b/>
      <sz val="9"/>
      <color rgb="FFFFFFFF"/>
      <name val="Arial"/>
    </font>
    <font>
      <b/>
      <sz val="12"/>
      <color rgb="FF085041"/>
      <name val="Arial"/>
    </font>
    <font>
      <b/>
      <sz val="9"/>
      <color rgb="FF2C2C2A"/>
      <name val="Arial"/>
    </font>
    <font>
      <b/>
      <sz val="11"/>
      <color rgb="FF2C2C2A"/>
      <name val="Arial"/>
    </font>
    <font>
      <b/>
      <sz val="8"/>
      <color rgb="FFFFFFFF"/>
      <name val="Arial"/>
    </font>
    <font>
      <sz val="8"/>
      <color rgb="FF2C2C2A"/>
      <name val="Arial"/>
    </font>
    <font>
      <b/>
      <sz val="9"/>
      <color rgb="FF085041"/>
      <name val="Arial"/>
    </font>
    <font>
      <b/>
      <sz val="14"/>
      <color rgb="FF2C2C2A"/>
      <name val="Arial"/>
    </font>
    <font>
      <i/>
      <sz val="9"/>
      <color rgb="FF2C2C2A"/>
      <name val="Arial"/>
    </font>
    <font>
      <b/>
      <sz val="8"/>
      <color rgb="FF2C2C2A"/>
      <name val="Arial"/>
    </font>
    <font>
      <b/>
      <sz val="11"/>
      <color rgb="FF085041"/>
      <name val="Arial"/>
    </font>
  </fonts>
  <fills count="7">
    <fill>
      <patternFill patternType="none"/>
    </fill>
    <fill>
      <patternFill patternType="gray125"/>
    </fill>
    <fill>
      <patternFill patternType="solid">
        <fgColor rgb="FF085041"/>
      </patternFill>
    </fill>
    <fill>
      <patternFill patternType="solid">
        <fgColor rgb="FF0F9D7C"/>
      </patternFill>
    </fill>
    <fill>
      <patternFill patternType="solid">
        <fgColor rgb="FFDCEEE7"/>
      </patternFill>
    </fill>
    <fill>
      <patternFill patternType="solid">
        <fgColor rgb="FFFFF8DC"/>
      </patternFill>
    </fill>
    <fill>
      <patternFill patternType="solid">
        <fgColor rgb="FFF6F9F7"/>
      </patternFill>
    </fill>
  </fills>
  <borders count="2">
    <border>
      <left/>
      <right/>
      <top/>
      <bottom/>
      <diagonal/>
    </border>
    <border>
      <left style="thin">
        <color rgb="FFB8B8B4"/>
      </left>
      <right style="thin">
        <color rgb="FFB8B8B4"/>
      </right>
      <top style="thin">
        <color rgb="FFB8B8B4"/>
      </top>
      <bottom style="thin">
        <color rgb="FFB8B8B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1" xfId="0" applyFont="1" applyBorder="1" applyAlignment="1">
      <alignment vertical="center" indent="1"/>
    </xf>
    <xf numFmtId="0" fontId="5" fillId="5" borderId="1" xfId="0" applyFont="1" applyFill="1" applyBorder="1" applyAlignment="1">
      <alignment horizontal="right" vertical="center"/>
    </xf>
    <xf numFmtId="0" fontId="6" fillId="0" borderId="0" xfId="0" applyFont="1" applyAlignment="1">
      <alignment vertical="center" wrapText="1" indent="1"/>
    </xf>
    <xf numFmtId="1" fontId="7" fillId="0" borderId="1" xfId="0" applyNumberFormat="1" applyFont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20" fontId="5" fillId="5" borderId="1" xfId="0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4" fontId="5" fillId="5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0" fontId="4" fillId="0" borderId="1" xfId="0" applyFont="1" applyBorder="1" applyAlignment="1">
      <alignment horizontal="center"/>
    </xf>
    <xf numFmtId="165" fontId="0" fillId="0" borderId="0" xfId="0" applyNumberFormat="1"/>
    <xf numFmtId="0" fontId="18" fillId="2" borderId="1" xfId="0" applyFont="1" applyFill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164" fontId="20" fillId="4" borderId="1" xfId="0" applyNumberFormat="1" applyFont="1" applyFill="1" applyBorder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4" fontId="20" fillId="4" borderId="1" xfId="0" applyNumberFormat="1" applyFont="1" applyFill="1" applyBorder="1" applyAlignment="1">
      <alignment horizontal="center" vertical="center"/>
    </xf>
    <xf numFmtId="168" fontId="20" fillId="4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indent="1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8" fontId="4" fillId="6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167" fontId="3" fillId="4" borderId="1" xfId="0" applyNumberFormat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 indent="1"/>
    </xf>
    <xf numFmtId="0" fontId="8" fillId="0" borderId="0" xfId="0" applyFont="1" applyAlignment="1">
      <alignment vertical="top" wrapText="1" indent="1"/>
    </xf>
    <xf numFmtId="0" fontId="9" fillId="4" borderId="0" xfId="0" applyFont="1" applyFill="1" applyAlignment="1">
      <alignment horizontal="center" vertical="center" indent="1"/>
    </xf>
    <xf numFmtId="0" fontId="12" fillId="0" borderId="0" xfId="0" applyFont="1" applyAlignment="1">
      <alignment vertical="top" wrapText="1"/>
    </xf>
    <xf numFmtId="0" fontId="13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vertical="center" indent="1"/>
    </xf>
    <xf numFmtId="0" fontId="16" fillId="0" borderId="0" xfId="0" applyFont="1" applyAlignment="1">
      <alignment vertical="center" indent="1"/>
    </xf>
    <xf numFmtId="0" fontId="17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top" indent="1"/>
    </xf>
    <xf numFmtId="0" fontId="23" fillId="0" borderId="0" xfId="0" applyFont="1" applyAlignment="1">
      <alignment vertical="top" wrapText="1"/>
    </xf>
    <xf numFmtId="0" fontId="20" fillId="4" borderId="0" xfId="0" applyFont="1" applyFill="1" applyAlignment="1">
      <alignment vertical="center" indent="1"/>
    </xf>
    <xf numFmtId="0" fontId="9" fillId="0" borderId="0" xfId="0" applyFont="1" applyAlignment="1">
      <alignment horizontal="center"/>
    </xf>
    <xf numFmtId="0" fontId="24" fillId="0" borderId="0" xfId="0" applyFont="1"/>
    <xf numFmtId="0" fontId="4" fillId="0" borderId="1" xfId="0" applyFont="1" applyBorder="1" applyAlignment="1">
      <alignment vertical="center" indent="1"/>
    </xf>
  </cellXfs>
  <cellStyles count="1">
    <cellStyle name="Normální" xfId="0" builtinId="0"/>
  </cellStyles>
  <dxfs count="48"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  <dxf>
      <font>
        <b/>
      </font>
      <fill>
        <patternFill patternType="solid">
          <bgColor rgb="FFFCEBC4"/>
        </patternFill>
      </fill>
    </dxf>
    <dxf>
      <font>
        <b/>
        <color rgb="FFC00000"/>
      </font>
    </dxf>
    <dxf>
      <fill>
        <patternFill patternType="solid">
          <bgColor rgb="FFF8D9D3"/>
        </patternFill>
      </fill>
    </dxf>
    <dxf>
      <fill>
        <patternFill patternType="solid">
          <bgColor rgb="FFEDED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9D7C"/>
    <pageSetUpPr fitToPage="1"/>
  </sheetPr>
  <dimension ref="B2:D32"/>
  <sheetViews>
    <sheetView showGridLines="0" workbookViewId="0"/>
  </sheetViews>
  <sheetFormatPr defaultRowHeight="15" x14ac:dyDescent="0.25"/>
  <cols>
    <col min="1" max="1" width="3" customWidth="1"/>
    <col min="2" max="2" width="44" customWidth="1"/>
    <col min="3" max="3" width="24" customWidth="1"/>
    <col min="4" max="4" width="62" customWidth="1"/>
  </cols>
  <sheetData>
    <row r="2" spans="2:4" ht="30" customHeight="1" x14ac:dyDescent="0.25">
      <c r="B2" s="42" t="s">
        <v>0</v>
      </c>
      <c r="C2" s="42"/>
      <c r="D2" s="42"/>
    </row>
    <row r="3" spans="2:4" ht="18" customHeight="1" x14ac:dyDescent="0.25">
      <c r="B3" s="43" t="s">
        <v>1</v>
      </c>
      <c r="C3" s="43"/>
      <c r="D3" s="43"/>
    </row>
    <row r="5" spans="2:4" ht="20.100000000000001" customHeight="1" x14ac:dyDescent="0.25">
      <c r="B5" s="44" t="s">
        <v>2</v>
      </c>
      <c r="C5" s="44"/>
      <c r="D5" s="44"/>
    </row>
    <row r="6" spans="2:4" ht="20.100000000000001" customHeight="1" x14ac:dyDescent="0.25">
      <c r="B6" s="1" t="s">
        <v>3</v>
      </c>
      <c r="C6" s="2" t="s">
        <v>3</v>
      </c>
      <c r="D6" s="3" t="s">
        <v>4</v>
      </c>
    </row>
    <row r="7" spans="2:4" ht="20.100000000000001" customHeight="1" x14ac:dyDescent="0.25">
      <c r="B7" s="1" t="s">
        <v>5</v>
      </c>
      <c r="C7" s="2" t="s">
        <v>6</v>
      </c>
      <c r="D7" s="3" t="s">
        <v>4</v>
      </c>
    </row>
    <row r="8" spans="2:4" ht="20.100000000000001" customHeight="1" x14ac:dyDescent="0.25">
      <c r="B8" s="1" t="s">
        <v>7</v>
      </c>
      <c r="C8" s="4">
        <v>2027</v>
      </c>
      <c r="D8" s="3" t="s">
        <v>8</v>
      </c>
    </row>
    <row r="10" spans="2:4" ht="20.100000000000001" customHeight="1" x14ac:dyDescent="0.25">
      <c r="B10" s="44" t="s">
        <v>9</v>
      </c>
      <c r="C10" s="44"/>
      <c r="D10" s="44"/>
    </row>
    <row r="11" spans="2:4" ht="20.100000000000001" customHeight="1" x14ac:dyDescent="0.25">
      <c r="B11" s="1" t="s">
        <v>10</v>
      </c>
      <c r="C11" s="5">
        <v>0</v>
      </c>
      <c r="D11" s="3" t="s">
        <v>11</v>
      </c>
    </row>
    <row r="12" spans="2:4" ht="20.100000000000001" customHeight="1" x14ac:dyDescent="0.25">
      <c r="B12" s="1" t="s">
        <v>12</v>
      </c>
      <c r="C12" s="5">
        <v>30</v>
      </c>
      <c r="D12" s="3" t="s">
        <v>13</v>
      </c>
    </row>
    <row r="13" spans="2:4" ht="20.100000000000001" customHeight="1" x14ac:dyDescent="0.25">
      <c r="B13" s="1" t="s">
        <v>14</v>
      </c>
      <c r="C13" s="6">
        <f>$C$12+$C$11</f>
        <v>30</v>
      </c>
      <c r="D13" s="3" t="s">
        <v>15</v>
      </c>
    </row>
    <row r="14" spans="2:4" ht="20.100000000000001" customHeight="1" x14ac:dyDescent="0.25">
      <c r="B14" s="1" t="s">
        <v>16</v>
      </c>
      <c r="C14" s="5">
        <v>25</v>
      </c>
      <c r="D14" s="3" t="s">
        <v>17</v>
      </c>
    </row>
    <row r="15" spans="2:4" ht="20.100000000000001" customHeight="1" x14ac:dyDescent="0.25">
      <c r="B15" s="1" t="s">
        <v>18</v>
      </c>
      <c r="C15" s="5">
        <v>5</v>
      </c>
      <c r="D15" s="3" t="s">
        <v>19</v>
      </c>
    </row>
    <row r="17" spans="2:4" ht="20.100000000000001" customHeight="1" x14ac:dyDescent="0.25">
      <c r="B17" s="44" t="s">
        <v>20</v>
      </c>
      <c r="C17" s="44"/>
      <c r="D17" s="44"/>
    </row>
    <row r="18" spans="2:4" ht="20.100000000000001" customHeight="1" x14ac:dyDescent="0.25">
      <c r="B18" s="1" t="s">
        <v>21</v>
      </c>
      <c r="C18" s="7">
        <v>0.3125</v>
      </c>
      <c r="D18" s="3" t="s">
        <v>22</v>
      </c>
    </row>
    <row r="19" spans="2:4" ht="20.100000000000001" customHeight="1" x14ac:dyDescent="0.25">
      <c r="B19" s="1" t="s">
        <v>23</v>
      </c>
      <c r="C19" s="7">
        <v>0.47916666666666669</v>
      </c>
      <c r="D19" s="3" t="s">
        <v>24</v>
      </c>
    </row>
    <row r="20" spans="2:4" ht="20.100000000000001" customHeight="1" x14ac:dyDescent="0.25">
      <c r="B20" s="1" t="s">
        <v>25</v>
      </c>
      <c r="C20" s="7">
        <v>0.5</v>
      </c>
      <c r="D20" s="3" t="s">
        <v>24</v>
      </c>
    </row>
    <row r="21" spans="2:4" ht="20.100000000000001" customHeight="1" x14ac:dyDescent="0.25">
      <c r="B21" s="1" t="s">
        <v>26</v>
      </c>
      <c r="C21" s="7">
        <v>0.66666666666666663</v>
      </c>
      <c r="D21" s="3" t="s">
        <v>24</v>
      </c>
    </row>
    <row r="22" spans="2:4" ht="20.100000000000001" customHeight="1" x14ac:dyDescent="0.25">
      <c r="B22" s="1" t="s">
        <v>27</v>
      </c>
      <c r="C22" s="8">
        <f>ROUND(((C19-C18)+(C21-C20))*24,2)</f>
        <v>8</v>
      </c>
      <c r="D22" s="3" t="s">
        <v>28</v>
      </c>
    </row>
    <row r="24" spans="2:4" ht="20.100000000000001" customHeight="1" x14ac:dyDescent="0.25">
      <c r="B24" s="44" t="s">
        <v>29</v>
      </c>
      <c r="C24" s="44"/>
      <c r="D24" s="44"/>
    </row>
    <row r="25" spans="2:4" ht="20.100000000000001" customHeight="1" x14ac:dyDescent="0.25">
      <c r="B25" s="1" t="s">
        <v>30</v>
      </c>
      <c r="C25" s="9">
        <v>129.5</v>
      </c>
      <c r="D25" s="3" t="s">
        <v>31</v>
      </c>
    </row>
    <row r="26" spans="2:4" ht="20.100000000000001" customHeight="1" x14ac:dyDescent="0.25">
      <c r="B26" s="1" t="s">
        <v>32</v>
      </c>
      <c r="C26" s="10">
        <v>3</v>
      </c>
      <c r="D26" s="3" t="s">
        <v>33</v>
      </c>
    </row>
    <row r="28" spans="2:4" x14ac:dyDescent="0.25">
      <c r="B28" s="45" t="s">
        <v>34</v>
      </c>
      <c r="C28" s="45"/>
      <c r="D28" s="45"/>
    </row>
    <row r="29" spans="2:4" x14ac:dyDescent="0.25">
      <c r="B29" s="45"/>
      <c r="C29" s="45"/>
      <c r="D29" s="45"/>
    </row>
    <row r="30" spans="2:4" x14ac:dyDescent="0.25">
      <c r="B30" s="45"/>
      <c r="C30" s="45"/>
      <c r="D30" s="45"/>
    </row>
    <row r="32" spans="2:4" ht="15.95" customHeight="1" x14ac:dyDescent="0.25">
      <c r="B32" s="46" t="s">
        <v>35</v>
      </c>
      <c r="C32" s="46"/>
      <c r="D32" s="46"/>
    </row>
  </sheetData>
  <mergeCells count="8">
    <mergeCell ref="B24:D24"/>
    <mergeCell ref="B28:D30"/>
    <mergeCell ref="B32:D32"/>
    <mergeCell ref="B2:D2"/>
    <mergeCell ref="B3:D3"/>
    <mergeCell ref="B5:D5"/>
    <mergeCell ref="B10:D10"/>
    <mergeCell ref="B17:D17"/>
  </mergeCells>
  <pageMargins left="0.7" right="0.7" top="0.78740157499999996" bottom="0.78740157499999996" header="0.3" footer="0.3"/>
  <pageSetup paperSize="9" orientation="portrait"/>
  <headerFooter>
    <oddFooter>&amp;L&amp;"Arial,Regular"&amp;8Bezplatná šablona Dodio&amp;C&amp;"Arial,Regular"&amp;8Předvolby&amp;R&amp;"Arial,Regular"&amp;8Strana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9D7C"/>
    <pageSetUpPr fitToPage="1"/>
  </sheetPr>
  <dimension ref="B2:D27"/>
  <sheetViews>
    <sheetView showGridLines="0" workbookViewId="0"/>
  </sheetViews>
  <sheetFormatPr defaultRowHeight="15" x14ac:dyDescent="0.25"/>
  <cols>
    <col min="1" max="1" width="3" customWidth="1"/>
    <col min="2" max="2" width="16" customWidth="1"/>
    <col min="3" max="3" width="58" customWidth="1"/>
    <col min="4" max="4" width="12" customWidth="1"/>
  </cols>
  <sheetData>
    <row r="2" spans="2:4" ht="30" customHeight="1" x14ac:dyDescent="0.25">
      <c r="B2" s="42" t="s">
        <v>36</v>
      </c>
      <c r="C2" s="42"/>
      <c r="D2" s="42"/>
    </row>
    <row r="3" spans="2:4" x14ac:dyDescent="0.25">
      <c r="B3" s="43" t="s">
        <v>1</v>
      </c>
      <c r="C3" s="43"/>
      <c r="D3" s="43"/>
    </row>
    <row r="4" spans="2:4" x14ac:dyDescent="0.25">
      <c r="B4" s="11" t="s">
        <v>37</v>
      </c>
      <c r="C4" s="11" t="s">
        <v>38</v>
      </c>
      <c r="D4" s="11" t="s">
        <v>39</v>
      </c>
    </row>
    <row r="5" spans="2:4" x14ac:dyDescent="0.25">
      <c r="B5" s="12">
        <v>46388</v>
      </c>
      <c r="C5" s="13" t="s">
        <v>40</v>
      </c>
      <c r="D5" s="14" t="str">
        <f t="shared" ref="D5:D22" si="0">IF(B5="","",CHOOSE(WEEKDAY(B5,2),"pondělí","úterý","středa","čtvrtek","pátek","sobota","neděle"))</f>
        <v>pátek</v>
      </c>
    </row>
    <row r="6" spans="2:4" x14ac:dyDescent="0.25">
      <c r="B6" s="12">
        <v>46472</v>
      </c>
      <c r="C6" s="13" t="s">
        <v>41</v>
      </c>
      <c r="D6" s="14" t="str">
        <f t="shared" si="0"/>
        <v>pátek</v>
      </c>
    </row>
    <row r="7" spans="2:4" x14ac:dyDescent="0.25">
      <c r="B7" s="12">
        <v>46475</v>
      </c>
      <c r="C7" s="13" t="s">
        <v>42</v>
      </c>
      <c r="D7" s="14" t="str">
        <f t="shared" si="0"/>
        <v>pondělí</v>
      </c>
    </row>
    <row r="8" spans="2:4" x14ac:dyDescent="0.25">
      <c r="B8" s="12">
        <v>46508</v>
      </c>
      <c r="C8" s="13" t="s">
        <v>43</v>
      </c>
      <c r="D8" s="14" t="str">
        <f t="shared" si="0"/>
        <v>sobota</v>
      </c>
    </row>
    <row r="9" spans="2:4" x14ac:dyDescent="0.25">
      <c r="B9" s="12">
        <v>46515</v>
      </c>
      <c r="C9" s="13" t="s">
        <v>44</v>
      </c>
      <c r="D9" s="14" t="str">
        <f t="shared" si="0"/>
        <v>sobota</v>
      </c>
    </row>
    <row r="10" spans="2:4" x14ac:dyDescent="0.25">
      <c r="B10" s="12">
        <v>46573</v>
      </c>
      <c r="C10" s="13" t="s">
        <v>45</v>
      </c>
      <c r="D10" s="14" t="str">
        <f t="shared" si="0"/>
        <v>pondělí</v>
      </c>
    </row>
    <row r="11" spans="2:4" x14ac:dyDescent="0.25">
      <c r="B11" s="12">
        <v>46574</v>
      </c>
      <c r="C11" s="13" t="s">
        <v>46</v>
      </c>
      <c r="D11" s="14" t="str">
        <f t="shared" si="0"/>
        <v>úterý</v>
      </c>
    </row>
    <row r="12" spans="2:4" x14ac:dyDescent="0.25">
      <c r="B12" s="12">
        <v>46658</v>
      </c>
      <c r="C12" s="13" t="s">
        <v>47</v>
      </c>
      <c r="D12" s="14" t="str">
        <f t="shared" si="0"/>
        <v>úterý</v>
      </c>
    </row>
    <row r="13" spans="2:4" x14ac:dyDescent="0.25">
      <c r="B13" s="12">
        <v>46688</v>
      </c>
      <c r="C13" s="13" t="s">
        <v>48</v>
      </c>
      <c r="D13" s="14" t="str">
        <f t="shared" si="0"/>
        <v>čtvrtek</v>
      </c>
    </row>
    <row r="14" spans="2:4" x14ac:dyDescent="0.25">
      <c r="B14" s="12">
        <v>46708</v>
      </c>
      <c r="C14" s="13" t="s">
        <v>49</v>
      </c>
      <c r="D14" s="14" t="str">
        <f t="shared" si="0"/>
        <v>středa</v>
      </c>
    </row>
    <row r="15" spans="2:4" x14ac:dyDescent="0.25">
      <c r="B15" s="12">
        <v>46745</v>
      </c>
      <c r="C15" s="13" t="s">
        <v>50</v>
      </c>
      <c r="D15" s="14" t="str">
        <f t="shared" si="0"/>
        <v>pátek</v>
      </c>
    </row>
    <row r="16" spans="2:4" x14ac:dyDescent="0.25">
      <c r="B16" s="12">
        <v>46746</v>
      </c>
      <c r="C16" s="13" t="s">
        <v>51</v>
      </c>
      <c r="D16" s="14" t="str">
        <f t="shared" si="0"/>
        <v>sobota</v>
      </c>
    </row>
    <row r="17" spans="2:4" x14ac:dyDescent="0.25">
      <c r="B17" s="12">
        <v>46747</v>
      </c>
      <c r="C17" s="13" t="s">
        <v>52</v>
      </c>
      <c r="D17" s="14" t="str">
        <f t="shared" si="0"/>
        <v>neděle</v>
      </c>
    </row>
    <row r="18" spans="2:4" x14ac:dyDescent="0.25">
      <c r="B18" s="12"/>
      <c r="C18" s="13"/>
      <c r="D18" s="14" t="str">
        <f t="shared" si="0"/>
        <v/>
      </c>
    </row>
    <row r="19" spans="2:4" x14ac:dyDescent="0.25">
      <c r="B19" s="12"/>
      <c r="C19" s="13"/>
      <c r="D19" s="14" t="str">
        <f t="shared" si="0"/>
        <v/>
      </c>
    </row>
    <row r="20" spans="2:4" x14ac:dyDescent="0.25">
      <c r="B20" s="12"/>
      <c r="C20" s="13"/>
      <c r="D20" s="14" t="str">
        <f t="shared" si="0"/>
        <v/>
      </c>
    </row>
    <row r="21" spans="2:4" x14ac:dyDescent="0.25">
      <c r="B21" s="12"/>
      <c r="C21" s="13"/>
      <c r="D21" s="14" t="str">
        <f t="shared" si="0"/>
        <v/>
      </c>
    </row>
    <row r="22" spans="2:4" x14ac:dyDescent="0.25">
      <c r="B22" s="12"/>
      <c r="C22" s="13"/>
      <c r="D22" s="14" t="str">
        <f t="shared" si="0"/>
        <v/>
      </c>
    </row>
    <row r="24" spans="2:4" x14ac:dyDescent="0.25">
      <c r="B24" s="47" t="s">
        <v>53</v>
      </c>
      <c r="C24" s="47"/>
      <c r="D24" s="47"/>
    </row>
    <row r="25" spans="2:4" x14ac:dyDescent="0.25">
      <c r="B25" s="47"/>
      <c r="C25" s="47"/>
      <c r="D25" s="47"/>
    </row>
    <row r="27" spans="2:4" x14ac:dyDescent="0.25">
      <c r="B27" s="46" t="s">
        <v>35</v>
      </c>
      <c r="C27" s="46"/>
      <c r="D27" s="46"/>
    </row>
  </sheetData>
  <mergeCells count="4">
    <mergeCell ref="B2:D2"/>
    <mergeCell ref="B3:D3"/>
    <mergeCell ref="B24:D25"/>
    <mergeCell ref="B27:D27"/>
  </mergeCells>
  <pageMargins left="0.7" right="0.7" top="0.78740157499999996" bottom="0.78740157499999996" header="0.3" footer="0.3"/>
  <pageSetup paperSize="9" orientation="portrait"/>
  <headerFooter>
    <oddFooter>&amp;L&amp;"Arial,Regular"&amp;8Bezplatná šablona Dodio&amp;C&amp;"Arial,Regular"&amp;8Státní svátky&amp;R&amp;"Arial,Regular"&amp;8Strana &amp;P z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5041"/>
    <pageSetUpPr fitToPage="1"/>
  </sheetPr>
  <dimension ref="A1:V51"/>
  <sheetViews>
    <sheetView showGridLines="0" workbookViewId="0">
      <pane ySplit="5" topLeftCell="A6" activePane="bottomLeft" state="frozen"/>
      <selection pane="bottomLeft" activeCell="A51" sqref="A51:S5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56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46388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IF(MONTH(DATE(PREDVOLBY!$C$8,1,1))=1,DATE(PREDVOLBY!$C$8,1,1),"")</f>
        <v>46388</v>
      </c>
      <c r="B6" s="18" t="str">
        <f t="shared" ref="B6:B36" si="0">IF($A6="","",CHOOSE(WEEKDAY($A6,2),"po","út","st","čt","pá","so","ne"))</f>
        <v>pá</v>
      </c>
      <c r="C6" s="19" t="str">
        <f>IF(OR($A6="",$U6="Víkend"),"",IF($V6&gt;=1,"-",PREDVOLBY!$C$18))</f>
        <v>-</v>
      </c>
      <c r="D6" s="19" t="str">
        <f>IF(OR($A6="",$U6="Víkend"),"",IF($V6&gt;=1,"-",PREDVOLBY!$C$19))</f>
        <v>-</v>
      </c>
      <c r="E6" s="19" t="str">
        <f>IF(OR($A6="",$U6="Víkend"),"",IF($V6&gt;=0.5,"-",PREDVOLBY!$C$20))</f>
        <v>-</v>
      </c>
      <c r="F6" s="19" t="str">
        <f>IF(OR($A6="",$U6="Víkend"),"",IF($V6&gt;=0.5,"-",PREDVOLBY!$C$21))</f>
        <v>-</v>
      </c>
      <c r="G6" s="20" t="str">
        <f t="shared" ref="G6:G36" si="1">IF(OR($A6="",$U6="Víkend"),"",IF(ISNUMBER($C6)+ISNUMBER($E6)=0,"-",ROUND((IF(ISNUMBER($C6),$D6-$C6,0)+IF(ISNUMBER($E6),$F6-$E6,0))*24,2)))</f>
        <v>-</v>
      </c>
      <c r="H6" s="20" t="str">
        <f>IF($G6="","",IF(ISNUMBER($G6),MAX(0,ROUND($G6-PREDVOLBY!$C$22*(1-$V6),2)),"-"))</f>
        <v>-</v>
      </c>
      <c r="I6" s="21" t="str">
        <f>IF($G6="","",IF(AND(ISNUMBER($G6),$J6=""),IF($G6&gt;=PREDVOLBY!$C$26,PREDVOLBY!$C$25,"-"),"-"))</f>
        <v>-</v>
      </c>
      <c r="J6" s="18"/>
      <c r="K6" s="18"/>
      <c r="L6" s="18"/>
      <c r="M6" s="18">
        <f t="shared" ref="M6:M36" si="2">IF($U6="Svátek",1,"")</f>
        <v>1</v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>Nový rok / Den obnovy samostatného českého státu</v>
      </c>
      <c r="U6" t="str">
        <f>IF($A6="","",IF(WEEKDAY($A6,2)&gt;5,"Víkend",IF(COUNTIF(SVATKY_2027!$B$5:$B$22,$A6)&gt;0,"Svátek","")))</f>
        <v>Svátek</v>
      </c>
      <c r="V6">
        <f t="shared" ref="V6:V36" si="3">IF(OR($A6="",$U6="Víkend"),0,IF($U6="Svátek",1,MIN(1,COUNTIF($K6:$P6,"x")+COUNTIF($K6:$P6,1)+0.5*COUNTIF($K6:$P6,0.5)+IF(OR($R6="x",$R6=1),1,IF($R6=0.5,0.5,0)))))</f>
        <v>1</v>
      </c>
    </row>
    <row r="7" spans="1:22" ht="15.6" customHeight="1" x14ac:dyDescent="0.25">
      <c r="A7" s="17">
        <f>IF(MONTH(DATE(PREDVOLBY!$C$8,1,2))=1,DATE(PREDVOLBY!$C$8,1,2),"")</f>
        <v>46389</v>
      </c>
      <c r="B7" s="18" t="str">
        <f t="shared" si="0"/>
        <v>so</v>
      </c>
      <c r="C7" s="19" t="str">
        <f>IF(OR($A7="",$U7="Víkend"),"",IF($V7&gt;=1,"-",PREDVOLBY!$C$18))</f>
        <v/>
      </c>
      <c r="D7" s="19" t="str">
        <f>IF(OR($A7="",$U7="Víkend"),"",IF($V7&gt;=1,"-",PREDVOLBY!$C$19))</f>
        <v/>
      </c>
      <c r="E7" s="19" t="str">
        <f>IF(OR($A7="",$U7="Víkend"),"",IF($V7&gt;=0.5,"-",PREDVOLBY!$C$20))</f>
        <v/>
      </c>
      <c r="F7" s="19" t="str">
        <f>IF(OR($A7="",$U7="Víkend"),"",IF($V7&gt;=0.5,"-",PREDVOLBY!$C$21))</f>
        <v/>
      </c>
      <c r="G7" s="20" t="str">
        <f t="shared" si="1"/>
        <v/>
      </c>
      <c r="H7" s="20" t="str">
        <f>IF($G7="","",IF(ISNUMBER($G7),MAX(0,ROUND($G7-PREDVOLBY!$C$22*(1-$V7),2)),"-"))</f>
        <v/>
      </c>
      <c r="I7" s="21" t="str">
        <f>IF($G7="","",IF(AND(ISNUMBER($G7),$J7=""),IF($G7&gt;=PREDVOLBY!$C$26,PREDVOLBY!$C$25,"-"),"-"))</f>
        <v/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>Víkend</v>
      </c>
      <c r="V7">
        <f t="shared" si="3"/>
        <v>0</v>
      </c>
    </row>
    <row r="8" spans="1:22" ht="15.6" customHeight="1" x14ac:dyDescent="0.25">
      <c r="A8" s="17">
        <f>IF(MONTH(DATE(PREDVOLBY!$C$8,1,3))=1,DATE(PREDVOLBY!$C$8,1,3),"")</f>
        <v>46390</v>
      </c>
      <c r="B8" s="18" t="str">
        <f t="shared" si="0"/>
        <v>ne</v>
      </c>
      <c r="C8" s="19" t="str">
        <f>IF(OR($A8="",$U8="Víkend"),"",IF($V8&gt;=1,"-",PREDVOLBY!$C$18))</f>
        <v/>
      </c>
      <c r="D8" s="19" t="str">
        <f>IF(OR($A8="",$U8="Víkend"),"",IF($V8&gt;=1,"-",PREDVOLBY!$C$19))</f>
        <v/>
      </c>
      <c r="E8" s="19" t="str">
        <f>IF(OR($A8="",$U8="Víkend"),"",IF($V8&gt;=0.5,"-",PREDVOLBY!$C$20))</f>
        <v/>
      </c>
      <c r="F8" s="19" t="str">
        <f>IF(OR($A8="",$U8="Víkend"),"",IF($V8&gt;=0.5,"-",PREDVOLBY!$C$21))</f>
        <v/>
      </c>
      <c r="G8" s="20" t="str">
        <f t="shared" si="1"/>
        <v/>
      </c>
      <c r="H8" s="20" t="str">
        <f>IF($G8="","",IF(ISNUMBER($G8),MAX(0,ROUND($G8-PREDVOLBY!$C$22*(1-$V8),2)),"-"))</f>
        <v/>
      </c>
      <c r="I8" s="21" t="str">
        <f>IF($G8="","",IF(AND(ISNUMBER($G8),$J8=""),IF($G8&gt;=PREDVOLBY!$C$26,PREDVOLBY!$C$25,"-"),"-"))</f>
        <v/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>Víkend</v>
      </c>
      <c r="V8">
        <f t="shared" si="3"/>
        <v>0</v>
      </c>
    </row>
    <row r="9" spans="1:22" ht="15.6" customHeight="1" x14ac:dyDescent="0.25">
      <c r="A9" s="17">
        <f>IF(MONTH(DATE(PREDVOLBY!$C$8,1,4))=1,DATE(PREDVOLBY!$C$8,1,4),"")</f>
        <v>46391</v>
      </c>
      <c r="B9" s="18" t="str">
        <f t="shared" si="0"/>
        <v>po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IF(MONTH(DATE(PREDVOLBY!$C$8,1,5))=1,DATE(PREDVOLBY!$C$8,1,5),"")</f>
        <v>46392</v>
      </c>
      <c r="B10" s="18" t="str">
        <f t="shared" si="0"/>
        <v>út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IF(MONTH(DATE(PREDVOLBY!$C$8,1,6))=1,DATE(PREDVOLBY!$C$8,1,6),"")</f>
        <v>46393</v>
      </c>
      <c r="B11" s="18" t="str">
        <f t="shared" si="0"/>
        <v>st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IF(MONTH(DATE(PREDVOLBY!$C$8,1,7))=1,DATE(PREDVOLBY!$C$8,1,7),"")</f>
        <v>46394</v>
      </c>
      <c r="B12" s="18" t="str">
        <f t="shared" si="0"/>
        <v>čt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IF(MONTH(DATE(PREDVOLBY!$C$8,1,8))=1,DATE(PREDVOLBY!$C$8,1,8),"")</f>
        <v>46395</v>
      </c>
      <c r="B13" s="18" t="str">
        <f t="shared" si="0"/>
        <v>pá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IF(MONTH(DATE(PREDVOLBY!$C$8,1,9))=1,DATE(PREDVOLBY!$C$8,1,9),"")</f>
        <v>46396</v>
      </c>
      <c r="B14" s="18" t="str">
        <f t="shared" si="0"/>
        <v>so</v>
      </c>
      <c r="C14" s="19" t="str">
        <f>IF(OR($A14="",$U14="Víkend"),"",IF($V14&gt;=1,"-",PREDVOLBY!$C$18))</f>
        <v/>
      </c>
      <c r="D14" s="19" t="str">
        <f>IF(OR($A14="",$U14="Víkend"),"",IF($V14&gt;=1,"-",PREDVOLBY!$C$19))</f>
        <v/>
      </c>
      <c r="E14" s="19" t="str">
        <f>IF(OR($A14="",$U14="Víkend"),"",IF($V14&gt;=0.5,"-",PREDVOLBY!$C$20))</f>
        <v/>
      </c>
      <c r="F14" s="19" t="str">
        <f>IF(OR($A14="",$U14="Víkend"),"",IF($V14&gt;=0.5,"-",PREDVOLBY!$C$21))</f>
        <v/>
      </c>
      <c r="G14" s="20" t="str">
        <f t="shared" si="1"/>
        <v/>
      </c>
      <c r="H14" s="20" t="str">
        <f>IF($G14="","",IF(ISNUMBER($G14),MAX(0,ROUND($G14-PREDVOLBY!$C$22*(1-$V14),2)),"-"))</f>
        <v/>
      </c>
      <c r="I14" s="21" t="str">
        <f>IF($G14="","",IF(AND(ISNUMBER($G14),$J14=""),IF($G14&gt;=PREDVOLBY!$C$26,PREDVOLBY!$C$25,"-"),"-"))</f>
        <v/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>Víkend</v>
      </c>
      <c r="V14">
        <f t="shared" si="3"/>
        <v>0</v>
      </c>
    </row>
    <row r="15" spans="1:22" ht="15.6" customHeight="1" x14ac:dyDescent="0.25">
      <c r="A15" s="17">
        <f>IF(MONTH(DATE(PREDVOLBY!$C$8,1,10))=1,DATE(PREDVOLBY!$C$8,1,10),"")</f>
        <v>46397</v>
      </c>
      <c r="B15" s="18" t="str">
        <f t="shared" si="0"/>
        <v>ne</v>
      </c>
      <c r="C15" s="19" t="str">
        <f>IF(OR($A15="",$U15="Víkend"),"",IF($V15&gt;=1,"-",PREDVOLBY!$C$18))</f>
        <v/>
      </c>
      <c r="D15" s="19" t="str">
        <f>IF(OR($A15="",$U15="Víkend"),"",IF($V15&gt;=1,"-",PREDVOLBY!$C$19))</f>
        <v/>
      </c>
      <c r="E15" s="19" t="str">
        <f>IF(OR($A15="",$U15="Víkend"),"",IF($V15&gt;=0.5,"-",PREDVOLBY!$C$20))</f>
        <v/>
      </c>
      <c r="F15" s="19" t="str">
        <f>IF(OR($A15="",$U15="Víkend"),"",IF($V15&gt;=0.5,"-",PREDVOLBY!$C$21))</f>
        <v/>
      </c>
      <c r="G15" s="20" t="str">
        <f t="shared" si="1"/>
        <v/>
      </c>
      <c r="H15" s="20" t="str">
        <f>IF($G15="","",IF(ISNUMBER($G15),MAX(0,ROUND($G15-PREDVOLBY!$C$22*(1-$V15),2)),"-"))</f>
        <v/>
      </c>
      <c r="I15" s="21" t="str">
        <f>IF($G15="","",IF(AND(ISNUMBER($G15),$J15=""),IF($G15&gt;=PREDVOLBY!$C$26,PREDVOLBY!$C$25,"-"),"-"))</f>
        <v/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>Víkend</v>
      </c>
      <c r="V15">
        <f t="shared" si="3"/>
        <v>0</v>
      </c>
    </row>
    <row r="16" spans="1:22" ht="15.6" customHeight="1" x14ac:dyDescent="0.25">
      <c r="A16" s="17">
        <f>IF(MONTH(DATE(PREDVOLBY!$C$8,1,11))=1,DATE(PREDVOLBY!$C$8,1,11),"")</f>
        <v>46398</v>
      </c>
      <c r="B16" s="18" t="str">
        <f t="shared" si="0"/>
        <v>po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IF(MONTH(DATE(PREDVOLBY!$C$8,1,12))=1,DATE(PREDVOLBY!$C$8,1,12),"")</f>
        <v>46399</v>
      </c>
      <c r="B17" s="18" t="str">
        <f t="shared" si="0"/>
        <v>út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IF(MONTH(DATE(PREDVOLBY!$C$8,1,13))=1,DATE(PREDVOLBY!$C$8,1,13),"")</f>
        <v>46400</v>
      </c>
      <c r="B18" s="18" t="str">
        <f t="shared" si="0"/>
        <v>st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IF(MONTH(DATE(PREDVOLBY!$C$8,1,14))=1,DATE(PREDVOLBY!$C$8,1,14),"")</f>
        <v>46401</v>
      </c>
      <c r="B19" s="18" t="str">
        <f t="shared" si="0"/>
        <v>čt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IF(MONTH(DATE(PREDVOLBY!$C$8,1,15))=1,DATE(PREDVOLBY!$C$8,1,15),"")</f>
        <v>46402</v>
      </c>
      <c r="B20" s="18" t="str">
        <f t="shared" si="0"/>
        <v>pá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IF(MONTH(DATE(PREDVOLBY!$C$8,1,16))=1,DATE(PREDVOLBY!$C$8,1,16),"")</f>
        <v>46403</v>
      </c>
      <c r="B21" s="18" t="str">
        <f t="shared" si="0"/>
        <v>so</v>
      </c>
      <c r="C21" s="19" t="str">
        <f>IF(OR($A21="",$U21="Víkend"),"",IF($V21&gt;=1,"-",PREDVOLBY!$C$18))</f>
        <v/>
      </c>
      <c r="D21" s="19" t="str">
        <f>IF(OR($A21="",$U21="Víkend"),"",IF($V21&gt;=1,"-",PREDVOLBY!$C$19))</f>
        <v/>
      </c>
      <c r="E21" s="19" t="str">
        <f>IF(OR($A21="",$U21="Víkend"),"",IF($V21&gt;=0.5,"-",PREDVOLBY!$C$20))</f>
        <v/>
      </c>
      <c r="F21" s="19" t="str">
        <f>IF(OR($A21="",$U21="Víkend"),"",IF($V21&gt;=0.5,"-",PREDVOLBY!$C$21))</f>
        <v/>
      </c>
      <c r="G21" s="20" t="str">
        <f t="shared" si="1"/>
        <v/>
      </c>
      <c r="H21" s="20" t="str">
        <f>IF($G21="","",IF(ISNUMBER($G21),MAX(0,ROUND($G21-PREDVOLBY!$C$22*(1-$V21),2)),"-"))</f>
        <v/>
      </c>
      <c r="I21" s="21" t="str">
        <f>IF($G21="","",IF(AND(ISNUMBER($G21),$J21=""),IF($G21&gt;=PREDVOLBY!$C$26,PREDVOLBY!$C$25,"-"),"-"))</f>
        <v/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>Víkend</v>
      </c>
      <c r="V21">
        <f t="shared" si="3"/>
        <v>0</v>
      </c>
    </row>
    <row r="22" spans="1:22" ht="15.6" customHeight="1" x14ac:dyDescent="0.25">
      <c r="A22" s="17">
        <f>IF(MONTH(DATE(PREDVOLBY!$C$8,1,17))=1,DATE(PREDVOLBY!$C$8,1,17),"")</f>
        <v>46404</v>
      </c>
      <c r="B22" s="18" t="str">
        <f t="shared" si="0"/>
        <v>ne</v>
      </c>
      <c r="C22" s="19" t="str">
        <f>IF(OR($A22="",$U22="Víkend"),"",IF($V22&gt;=1,"-",PREDVOLBY!$C$18))</f>
        <v/>
      </c>
      <c r="D22" s="19" t="str">
        <f>IF(OR($A22="",$U22="Víkend"),"",IF($V22&gt;=1,"-",PREDVOLBY!$C$19))</f>
        <v/>
      </c>
      <c r="E22" s="19" t="str">
        <f>IF(OR($A22="",$U22="Víkend"),"",IF($V22&gt;=0.5,"-",PREDVOLBY!$C$20))</f>
        <v/>
      </c>
      <c r="F22" s="19" t="str">
        <f>IF(OR($A22="",$U22="Víkend"),"",IF($V22&gt;=0.5,"-",PREDVOLBY!$C$21))</f>
        <v/>
      </c>
      <c r="G22" s="20" t="str">
        <f t="shared" si="1"/>
        <v/>
      </c>
      <c r="H22" s="20" t="str">
        <f>IF($G22="","",IF(ISNUMBER($G22),MAX(0,ROUND($G22-PREDVOLBY!$C$22*(1-$V22),2)),"-"))</f>
        <v/>
      </c>
      <c r="I22" s="21" t="str">
        <f>IF($G22="","",IF(AND(ISNUMBER($G22),$J22=""),IF($G22&gt;=PREDVOLBY!$C$26,PREDVOLBY!$C$25,"-"),"-"))</f>
        <v/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>Víkend</v>
      </c>
      <c r="V22">
        <f t="shared" si="3"/>
        <v>0</v>
      </c>
    </row>
    <row r="23" spans="1:22" ht="15.6" customHeight="1" x14ac:dyDescent="0.25">
      <c r="A23" s="17">
        <f>IF(MONTH(DATE(PREDVOLBY!$C$8,1,18))=1,DATE(PREDVOLBY!$C$8,1,18),"")</f>
        <v>46405</v>
      </c>
      <c r="B23" s="18" t="str">
        <f t="shared" si="0"/>
        <v>po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IF(MONTH(DATE(PREDVOLBY!$C$8,1,19))=1,DATE(PREDVOLBY!$C$8,1,19),"")</f>
        <v>46406</v>
      </c>
      <c r="B24" s="18" t="str">
        <f t="shared" si="0"/>
        <v>út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IF(MONTH(DATE(PREDVOLBY!$C$8,1,20))=1,DATE(PREDVOLBY!$C$8,1,20),"")</f>
        <v>46407</v>
      </c>
      <c r="B25" s="18" t="str">
        <f t="shared" si="0"/>
        <v>st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IF(MONTH(DATE(PREDVOLBY!$C$8,1,21))=1,DATE(PREDVOLBY!$C$8,1,21),"")</f>
        <v>46408</v>
      </c>
      <c r="B26" s="18" t="str">
        <f t="shared" si="0"/>
        <v>čt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IF(MONTH(DATE(PREDVOLBY!$C$8,1,22))=1,DATE(PREDVOLBY!$C$8,1,22),"")</f>
        <v>46409</v>
      </c>
      <c r="B27" s="18" t="str">
        <f t="shared" si="0"/>
        <v>pá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IF(MONTH(DATE(PREDVOLBY!$C$8,1,23))=1,DATE(PREDVOLBY!$C$8,1,23),"")</f>
        <v>46410</v>
      </c>
      <c r="B28" s="18" t="str">
        <f t="shared" si="0"/>
        <v>so</v>
      </c>
      <c r="C28" s="19" t="str">
        <f>IF(OR($A28="",$U28="Víkend"),"",IF($V28&gt;=1,"-",PREDVOLBY!$C$18))</f>
        <v/>
      </c>
      <c r="D28" s="19" t="str">
        <f>IF(OR($A28="",$U28="Víkend"),"",IF($V28&gt;=1,"-",PREDVOLBY!$C$19))</f>
        <v/>
      </c>
      <c r="E28" s="19" t="str">
        <f>IF(OR($A28="",$U28="Víkend"),"",IF($V28&gt;=0.5,"-",PREDVOLBY!$C$20))</f>
        <v/>
      </c>
      <c r="F28" s="19" t="str">
        <f>IF(OR($A28="",$U28="Víkend"),"",IF($V28&gt;=0.5,"-",PREDVOLBY!$C$21))</f>
        <v/>
      </c>
      <c r="G28" s="20" t="str">
        <f t="shared" si="1"/>
        <v/>
      </c>
      <c r="H28" s="20" t="str">
        <f>IF($G28="","",IF(ISNUMBER($G28),MAX(0,ROUND($G28-PREDVOLBY!$C$22*(1-$V28),2)),"-"))</f>
        <v/>
      </c>
      <c r="I28" s="21" t="str">
        <f>IF($G28="","",IF(AND(ISNUMBER($G28),$J28=""),IF($G28&gt;=PREDVOLBY!$C$26,PREDVOLBY!$C$25,"-"),"-"))</f>
        <v/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>Víkend</v>
      </c>
      <c r="V28">
        <f t="shared" si="3"/>
        <v>0</v>
      </c>
    </row>
    <row r="29" spans="1:22" ht="15.6" customHeight="1" x14ac:dyDescent="0.25">
      <c r="A29" s="17">
        <f>IF(MONTH(DATE(PREDVOLBY!$C$8,1,24))=1,DATE(PREDVOLBY!$C$8,1,24),"")</f>
        <v>46411</v>
      </c>
      <c r="B29" s="18" t="str">
        <f t="shared" si="0"/>
        <v>ne</v>
      </c>
      <c r="C29" s="19" t="str">
        <f>IF(OR($A29="",$U29="Víkend"),"",IF($V29&gt;=1,"-",PREDVOLBY!$C$18))</f>
        <v/>
      </c>
      <c r="D29" s="19" t="str">
        <f>IF(OR($A29="",$U29="Víkend"),"",IF($V29&gt;=1,"-",PREDVOLBY!$C$19))</f>
        <v/>
      </c>
      <c r="E29" s="19" t="str">
        <f>IF(OR($A29="",$U29="Víkend"),"",IF($V29&gt;=0.5,"-",PREDVOLBY!$C$20))</f>
        <v/>
      </c>
      <c r="F29" s="19" t="str">
        <f>IF(OR($A29="",$U29="Víkend"),"",IF($V29&gt;=0.5,"-",PREDVOLBY!$C$21))</f>
        <v/>
      </c>
      <c r="G29" s="20" t="str">
        <f t="shared" si="1"/>
        <v/>
      </c>
      <c r="H29" s="20" t="str">
        <f>IF($G29="","",IF(ISNUMBER($G29),MAX(0,ROUND($G29-PREDVOLBY!$C$22*(1-$V29),2)),"-"))</f>
        <v/>
      </c>
      <c r="I29" s="21" t="str">
        <f>IF($G29="","",IF(AND(ISNUMBER($G29),$J29=""),IF($G29&gt;=PREDVOLBY!$C$26,PREDVOLBY!$C$25,"-"),"-"))</f>
        <v/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>Víkend</v>
      </c>
      <c r="V29">
        <f t="shared" si="3"/>
        <v>0</v>
      </c>
    </row>
    <row r="30" spans="1:22" ht="15.6" customHeight="1" x14ac:dyDescent="0.25">
      <c r="A30" s="17">
        <f>IF(MONTH(DATE(PREDVOLBY!$C$8,1,25))=1,DATE(PREDVOLBY!$C$8,1,25),"")</f>
        <v>46412</v>
      </c>
      <c r="B30" s="18" t="str">
        <f t="shared" si="0"/>
        <v>po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IF(MONTH(DATE(PREDVOLBY!$C$8,1,26))=1,DATE(PREDVOLBY!$C$8,1,26),"")</f>
        <v>46413</v>
      </c>
      <c r="B31" s="18" t="str">
        <f t="shared" si="0"/>
        <v>út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IF(MONTH(DATE(PREDVOLBY!$C$8,1,27))=1,DATE(PREDVOLBY!$C$8,1,27),"")</f>
        <v>46414</v>
      </c>
      <c r="B32" s="18" t="str">
        <f t="shared" si="0"/>
        <v>st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IF(MONTH(DATE(PREDVOLBY!$C$8,1,28))=1,DATE(PREDVOLBY!$C$8,1,28),"")</f>
        <v>46415</v>
      </c>
      <c r="B33" s="18" t="str">
        <f t="shared" si="0"/>
        <v>čt</v>
      </c>
      <c r="C33" s="19">
        <f>IF(OR($A33="",$U33="Víkend"),"",IF($V33&gt;=1,"-",PREDVOLBY!$C$18))</f>
        <v>0.3125</v>
      </c>
      <c r="D33" s="19">
        <f>IF(OR($A33="",$U33="Víkend"),"",IF($V33&gt;=1,"-",PREDVOLBY!$C$19))</f>
        <v>0.47916666666666669</v>
      </c>
      <c r="E33" s="19">
        <f>IF(OR($A33="",$U33="Víkend"),"",IF($V33&gt;=0.5,"-",PREDVOLBY!$C$20))</f>
        <v>0.5</v>
      </c>
      <c r="F33" s="19">
        <f>IF(OR($A33="",$U33="Víkend"),"",IF($V33&gt;=0.5,"-",PREDVOLBY!$C$21))</f>
        <v>0.66666666666666663</v>
      </c>
      <c r="G33" s="20">
        <f t="shared" si="1"/>
        <v>8</v>
      </c>
      <c r="H33" s="20">
        <f>IF($G33="","",IF(ISNUMBER($G33),MAX(0,ROUND($G33-PREDVOLBY!$C$22*(1-$V33),2)),"-"))</f>
        <v>0</v>
      </c>
      <c r="I33" s="21">
        <f>IF($G33="","",IF(AND(ISNUMBER($G33),$J33=""),IF($G33&gt;=PREDVOLBY!$C$26,PREDVOLBY!$C$25,"-"),"-"))</f>
        <v>129.5</v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/>
      </c>
      <c r="V33">
        <f t="shared" si="3"/>
        <v>0</v>
      </c>
    </row>
    <row r="34" spans="1:22" ht="15.6" customHeight="1" x14ac:dyDescent="0.25">
      <c r="A34" s="17">
        <f>IF(MONTH(DATE(PREDVOLBY!$C$8,1,29))=1,DATE(PREDVOLBY!$C$8,1,29),"")</f>
        <v>46416</v>
      </c>
      <c r="B34" s="18" t="str">
        <f t="shared" si="0"/>
        <v>pá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IF(MONTH(DATE(PREDVOLBY!$C$8,1,30))=1,DATE(PREDVOLBY!$C$8,1,30),"")</f>
        <v>46417</v>
      </c>
      <c r="B35" s="18" t="str">
        <f t="shared" si="0"/>
        <v>so</v>
      </c>
      <c r="C35" s="19" t="str">
        <f>IF(OR($A35="",$U35="Víkend"),"",IF($V35&gt;=1,"-",PREDVOLBY!$C$18))</f>
        <v/>
      </c>
      <c r="D35" s="19" t="str">
        <f>IF(OR($A35="",$U35="Víkend"),"",IF($V35&gt;=1,"-",PREDVOLBY!$C$19))</f>
        <v/>
      </c>
      <c r="E35" s="19" t="str">
        <f>IF(OR($A35="",$U35="Víkend"),"",IF($V35&gt;=0.5,"-",PREDVOLBY!$C$20))</f>
        <v/>
      </c>
      <c r="F35" s="19" t="str">
        <f>IF(OR($A35="",$U35="Víkend"),"",IF($V35&gt;=0.5,"-",PREDVOLBY!$C$21))</f>
        <v/>
      </c>
      <c r="G35" s="20" t="str">
        <f t="shared" si="1"/>
        <v/>
      </c>
      <c r="H35" s="20" t="str">
        <f>IF($G35="","",IF(ISNUMBER($G35),MAX(0,ROUND($G35-PREDVOLBY!$C$22*(1-$V35),2)),"-"))</f>
        <v/>
      </c>
      <c r="I35" s="21" t="str">
        <f>IF($G35="","",IF(AND(ISNUMBER($G35),$J35=""),IF($G35&gt;=PREDVOLBY!$C$26,PREDVOLBY!$C$25,"-"),"-"))</f>
        <v/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>Víkend</v>
      </c>
      <c r="V35">
        <f t="shared" si="3"/>
        <v>0</v>
      </c>
    </row>
    <row r="36" spans="1:22" ht="15.6" customHeight="1" x14ac:dyDescent="0.25">
      <c r="A36" s="17">
        <f>IF(MONTH(DATE(PREDVOLBY!$C$8,1,31))=1,DATE(PREDVOLBY!$C$8,1,31),"")</f>
        <v>46418</v>
      </c>
      <c r="B36" s="18" t="str">
        <f t="shared" si="0"/>
        <v>ne</v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>Víkend</v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160</v>
      </c>
      <c r="H37" s="25">
        <f>SUM(H6:H36)</f>
        <v>0</v>
      </c>
      <c r="I37" s="26">
        <f>SUM(I6:I36)</f>
        <v>2590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1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20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"&amp;SUM('01_2027'!$K$37)&amp;" / "&amp;PREDVOLBY!$C$13&amp;" dní (zbývá "&amp;(PREDVOLBY!$C$13-SUM('01_2027'!$K$37))&amp;")"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47" priority="1">
      <formula>$U6="Víkend"</formula>
    </cfRule>
    <cfRule type="expression" dxfId="46" priority="2">
      <formula>$U6="Svátek"</formula>
    </cfRule>
  </conditionalFormatting>
  <conditionalFormatting sqref="I3:S3">
    <cfRule type="expression" dxfId="45" priority="4">
      <formula>$I$3="DOPLŇTE ÚDAJE V KARTĚ PŘEDVOLBY"</formula>
    </cfRule>
  </conditionalFormatting>
  <conditionalFormatting sqref="K6:R36">
    <cfRule type="expression" dxfId="44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2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Leden 2027&amp;R&amp;"Arial,Regular"&amp;8Strana &amp;P z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9D7C"/>
    <pageSetUpPr fitToPage="1"/>
  </sheetPr>
  <dimension ref="A1:V51"/>
  <sheetViews>
    <sheetView showGridLines="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86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46419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IF(MONTH(DATE(PREDVOLBY!$C$8,2,1))=2,DATE(PREDVOLBY!$C$8,2,1),"")</f>
        <v>46419</v>
      </c>
      <c r="B6" s="18" t="str">
        <f t="shared" ref="B6:B36" si="0">IF($A6="","",CHOOSE(WEEKDAY($A6,2),"po","út","st","čt","pá","so","ne"))</f>
        <v>po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IF(MONTH(DATE(PREDVOLBY!$C$8,2,2))=2,DATE(PREDVOLBY!$C$8,2,2),"")</f>
        <v>46420</v>
      </c>
      <c r="B7" s="18" t="str">
        <f t="shared" si="0"/>
        <v>út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IF(MONTH(DATE(PREDVOLBY!$C$8,2,3))=2,DATE(PREDVOLBY!$C$8,2,3),"")</f>
        <v>46421</v>
      </c>
      <c r="B8" s="18" t="str">
        <f t="shared" si="0"/>
        <v>st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IF(MONTH(DATE(PREDVOLBY!$C$8,2,4))=2,DATE(PREDVOLBY!$C$8,2,4),"")</f>
        <v>46422</v>
      </c>
      <c r="B9" s="18" t="str">
        <f t="shared" si="0"/>
        <v>čt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IF(MONTH(DATE(PREDVOLBY!$C$8,2,5))=2,DATE(PREDVOLBY!$C$8,2,5),"")</f>
        <v>46423</v>
      </c>
      <c r="B10" s="18" t="str">
        <f t="shared" si="0"/>
        <v>pá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IF(MONTH(DATE(PREDVOLBY!$C$8,2,6))=2,DATE(PREDVOLBY!$C$8,2,6),"")</f>
        <v>46424</v>
      </c>
      <c r="B11" s="18" t="str">
        <f t="shared" si="0"/>
        <v>so</v>
      </c>
      <c r="C11" s="19" t="str">
        <f>IF(OR($A11="",$U11="Víkend"),"",IF($V11&gt;=1,"-",PREDVOLBY!$C$18))</f>
        <v/>
      </c>
      <c r="D11" s="19" t="str">
        <f>IF(OR($A11="",$U11="Víkend"),"",IF($V11&gt;=1,"-",PREDVOLBY!$C$19))</f>
        <v/>
      </c>
      <c r="E11" s="19" t="str">
        <f>IF(OR($A11="",$U11="Víkend"),"",IF($V11&gt;=0.5,"-",PREDVOLBY!$C$20))</f>
        <v/>
      </c>
      <c r="F11" s="19" t="str">
        <f>IF(OR($A11="",$U11="Víkend"),"",IF($V11&gt;=0.5,"-",PREDVOLBY!$C$21))</f>
        <v/>
      </c>
      <c r="G11" s="20" t="str">
        <f t="shared" si="1"/>
        <v/>
      </c>
      <c r="H11" s="20" t="str">
        <f>IF($G11="","",IF(ISNUMBER($G11),MAX(0,ROUND($G11-PREDVOLBY!$C$22*(1-$V11),2)),"-"))</f>
        <v/>
      </c>
      <c r="I11" s="21" t="str">
        <f>IF($G11="","",IF(AND(ISNUMBER($G11),$J11=""),IF($G11&gt;=PREDVOLBY!$C$26,PREDVOLBY!$C$25,"-"),"-"))</f>
        <v/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>Víkend</v>
      </c>
      <c r="V11">
        <f t="shared" si="3"/>
        <v>0</v>
      </c>
    </row>
    <row r="12" spans="1:22" ht="15.6" customHeight="1" x14ac:dyDescent="0.25">
      <c r="A12" s="17">
        <f>IF(MONTH(DATE(PREDVOLBY!$C$8,2,7))=2,DATE(PREDVOLBY!$C$8,2,7),"")</f>
        <v>46425</v>
      </c>
      <c r="B12" s="18" t="str">
        <f t="shared" si="0"/>
        <v>ne</v>
      </c>
      <c r="C12" s="19" t="str">
        <f>IF(OR($A12="",$U12="Víkend"),"",IF($V12&gt;=1,"-",PREDVOLBY!$C$18))</f>
        <v/>
      </c>
      <c r="D12" s="19" t="str">
        <f>IF(OR($A12="",$U12="Víkend"),"",IF($V12&gt;=1,"-",PREDVOLBY!$C$19))</f>
        <v/>
      </c>
      <c r="E12" s="19" t="str">
        <f>IF(OR($A12="",$U12="Víkend"),"",IF($V12&gt;=0.5,"-",PREDVOLBY!$C$20))</f>
        <v/>
      </c>
      <c r="F12" s="19" t="str">
        <f>IF(OR($A12="",$U12="Víkend"),"",IF($V12&gt;=0.5,"-",PREDVOLBY!$C$21))</f>
        <v/>
      </c>
      <c r="G12" s="20" t="str">
        <f t="shared" si="1"/>
        <v/>
      </c>
      <c r="H12" s="20" t="str">
        <f>IF($G12="","",IF(ISNUMBER($G12),MAX(0,ROUND($G12-PREDVOLBY!$C$22*(1-$V12),2)),"-"))</f>
        <v/>
      </c>
      <c r="I12" s="21" t="str">
        <f>IF($G12="","",IF(AND(ISNUMBER($G12),$J12=""),IF($G12&gt;=PREDVOLBY!$C$26,PREDVOLBY!$C$25,"-"),"-"))</f>
        <v/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>Víkend</v>
      </c>
      <c r="V12">
        <f t="shared" si="3"/>
        <v>0</v>
      </c>
    </row>
    <row r="13" spans="1:22" ht="15.6" customHeight="1" x14ac:dyDescent="0.25">
      <c r="A13" s="17">
        <f>IF(MONTH(DATE(PREDVOLBY!$C$8,2,8))=2,DATE(PREDVOLBY!$C$8,2,8),"")</f>
        <v>46426</v>
      </c>
      <c r="B13" s="18" t="str">
        <f t="shared" si="0"/>
        <v>po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IF(MONTH(DATE(PREDVOLBY!$C$8,2,9))=2,DATE(PREDVOLBY!$C$8,2,9),"")</f>
        <v>46427</v>
      </c>
      <c r="B14" s="18" t="str">
        <f t="shared" si="0"/>
        <v>út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IF(MONTH(DATE(PREDVOLBY!$C$8,2,10))=2,DATE(PREDVOLBY!$C$8,2,10),"")</f>
        <v>46428</v>
      </c>
      <c r="B15" s="18" t="str">
        <f t="shared" si="0"/>
        <v>st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IF(MONTH(DATE(PREDVOLBY!$C$8,2,11))=2,DATE(PREDVOLBY!$C$8,2,11),"")</f>
        <v>46429</v>
      </c>
      <c r="B16" s="18" t="str">
        <f t="shared" si="0"/>
        <v>čt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IF(MONTH(DATE(PREDVOLBY!$C$8,2,12))=2,DATE(PREDVOLBY!$C$8,2,12),"")</f>
        <v>46430</v>
      </c>
      <c r="B17" s="18" t="str">
        <f t="shared" si="0"/>
        <v>pá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IF(MONTH(DATE(PREDVOLBY!$C$8,2,13))=2,DATE(PREDVOLBY!$C$8,2,13),"")</f>
        <v>46431</v>
      </c>
      <c r="B18" s="18" t="str">
        <f t="shared" si="0"/>
        <v>so</v>
      </c>
      <c r="C18" s="19" t="str">
        <f>IF(OR($A18="",$U18="Víkend"),"",IF($V18&gt;=1,"-",PREDVOLBY!$C$18))</f>
        <v/>
      </c>
      <c r="D18" s="19" t="str">
        <f>IF(OR($A18="",$U18="Víkend"),"",IF($V18&gt;=1,"-",PREDVOLBY!$C$19))</f>
        <v/>
      </c>
      <c r="E18" s="19" t="str">
        <f>IF(OR($A18="",$U18="Víkend"),"",IF($V18&gt;=0.5,"-",PREDVOLBY!$C$20))</f>
        <v/>
      </c>
      <c r="F18" s="19" t="str">
        <f>IF(OR($A18="",$U18="Víkend"),"",IF($V18&gt;=0.5,"-",PREDVOLBY!$C$21))</f>
        <v/>
      </c>
      <c r="G18" s="20" t="str">
        <f t="shared" si="1"/>
        <v/>
      </c>
      <c r="H18" s="20" t="str">
        <f>IF($G18="","",IF(ISNUMBER($G18),MAX(0,ROUND($G18-PREDVOLBY!$C$22*(1-$V18),2)),"-"))</f>
        <v/>
      </c>
      <c r="I18" s="21" t="str">
        <f>IF($G18="","",IF(AND(ISNUMBER($G18),$J18=""),IF($G18&gt;=PREDVOLBY!$C$26,PREDVOLBY!$C$25,"-"),"-"))</f>
        <v/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>Víkend</v>
      </c>
      <c r="V18">
        <f t="shared" si="3"/>
        <v>0</v>
      </c>
    </row>
    <row r="19" spans="1:22" ht="15.6" customHeight="1" x14ac:dyDescent="0.25">
      <c r="A19" s="17">
        <f>IF(MONTH(DATE(PREDVOLBY!$C$8,2,14))=2,DATE(PREDVOLBY!$C$8,2,14),"")</f>
        <v>46432</v>
      </c>
      <c r="B19" s="18" t="str">
        <f t="shared" si="0"/>
        <v>ne</v>
      </c>
      <c r="C19" s="19" t="str">
        <f>IF(OR($A19="",$U19="Víkend"),"",IF($V19&gt;=1,"-",PREDVOLBY!$C$18))</f>
        <v/>
      </c>
      <c r="D19" s="19" t="str">
        <f>IF(OR($A19="",$U19="Víkend"),"",IF($V19&gt;=1,"-",PREDVOLBY!$C$19))</f>
        <v/>
      </c>
      <c r="E19" s="19" t="str">
        <f>IF(OR($A19="",$U19="Víkend"),"",IF($V19&gt;=0.5,"-",PREDVOLBY!$C$20))</f>
        <v/>
      </c>
      <c r="F19" s="19" t="str">
        <f>IF(OR($A19="",$U19="Víkend"),"",IF($V19&gt;=0.5,"-",PREDVOLBY!$C$21))</f>
        <v/>
      </c>
      <c r="G19" s="20" t="str">
        <f t="shared" si="1"/>
        <v/>
      </c>
      <c r="H19" s="20" t="str">
        <f>IF($G19="","",IF(ISNUMBER($G19),MAX(0,ROUND($G19-PREDVOLBY!$C$22*(1-$V19),2)),"-"))</f>
        <v/>
      </c>
      <c r="I19" s="21" t="str">
        <f>IF($G19="","",IF(AND(ISNUMBER($G19),$J19=""),IF($G19&gt;=PREDVOLBY!$C$26,PREDVOLBY!$C$25,"-"),"-"))</f>
        <v/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>Víkend</v>
      </c>
      <c r="V19">
        <f t="shared" si="3"/>
        <v>0</v>
      </c>
    </row>
    <row r="20" spans="1:22" ht="15.6" customHeight="1" x14ac:dyDescent="0.25">
      <c r="A20" s="17">
        <f>IF(MONTH(DATE(PREDVOLBY!$C$8,2,15))=2,DATE(PREDVOLBY!$C$8,2,15),"")</f>
        <v>46433</v>
      </c>
      <c r="B20" s="18" t="str">
        <f t="shared" si="0"/>
        <v>po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IF(MONTH(DATE(PREDVOLBY!$C$8,2,16))=2,DATE(PREDVOLBY!$C$8,2,16),"")</f>
        <v>46434</v>
      </c>
      <c r="B21" s="18" t="str">
        <f t="shared" si="0"/>
        <v>út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IF(MONTH(DATE(PREDVOLBY!$C$8,2,17))=2,DATE(PREDVOLBY!$C$8,2,17),"")</f>
        <v>46435</v>
      </c>
      <c r="B22" s="18" t="str">
        <f t="shared" si="0"/>
        <v>st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IF(MONTH(DATE(PREDVOLBY!$C$8,2,18))=2,DATE(PREDVOLBY!$C$8,2,18),"")</f>
        <v>46436</v>
      </c>
      <c r="B23" s="18" t="str">
        <f t="shared" si="0"/>
        <v>čt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IF(MONTH(DATE(PREDVOLBY!$C$8,2,19))=2,DATE(PREDVOLBY!$C$8,2,19),"")</f>
        <v>46437</v>
      </c>
      <c r="B24" s="18" t="str">
        <f t="shared" si="0"/>
        <v>pá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IF(MONTH(DATE(PREDVOLBY!$C$8,2,20))=2,DATE(PREDVOLBY!$C$8,2,20),"")</f>
        <v>46438</v>
      </c>
      <c r="B25" s="18" t="str">
        <f t="shared" si="0"/>
        <v>so</v>
      </c>
      <c r="C25" s="19" t="str">
        <f>IF(OR($A25="",$U25="Víkend"),"",IF($V25&gt;=1,"-",PREDVOLBY!$C$18))</f>
        <v/>
      </c>
      <c r="D25" s="19" t="str">
        <f>IF(OR($A25="",$U25="Víkend"),"",IF($V25&gt;=1,"-",PREDVOLBY!$C$19))</f>
        <v/>
      </c>
      <c r="E25" s="19" t="str">
        <f>IF(OR($A25="",$U25="Víkend"),"",IF($V25&gt;=0.5,"-",PREDVOLBY!$C$20))</f>
        <v/>
      </c>
      <c r="F25" s="19" t="str">
        <f>IF(OR($A25="",$U25="Víkend"),"",IF($V25&gt;=0.5,"-",PREDVOLBY!$C$21))</f>
        <v/>
      </c>
      <c r="G25" s="20" t="str">
        <f t="shared" si="1"/>
        <v/>
      </c>
      <c r="H25" s="20" t="str">
        <f>IF($G25="","",IF(ISNUMBER($G25),MAX(0,ROUND($G25-PREDVOLBY!$C$22*(1-$V25),2)),"-"))</f>
        <v/>
      </c>
      <c r="I25" s="21" t="str">
        <f>IF($G25="","",IF(AND(ISNUMBER($G25),$J25=""),IF($G25&gt;=PREDVOLBY!$C$26,PREDVOLBY!$C$25,"-"),"-"))</f>
        <v/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>Víkend</v>
      </c>
      <c r="V25">
        <f t="shared" si="3"/>
        <v>0</v>
      </c>
    </row>
    <row r="26" spans="1:22" ht="15.6" customHeight="1" x14ac:dyDescent="0.25">
      <c r="A26" s="17">
        <f>IF(MONTH(DATE(PREDVOLBY!$C$8,2,21))=2,DATE(PREDVOLBY!$C$8,2,21),"")</f>
        <v>46439</v>
      </c>
      <c r="B26" s="18" t="str">
        <f t="shared" si="0"/>
        <v>ne</v>
      </c>
      <c r="C26" s="19" t="str">
        <f>IF(OR($A26="",$U26="Víkend"),"",IF($V26&gt;=1,"-",PREDVOLBY!$C$18))</f>
        <v/>
      </c>
      <c r="D26" s="19" t="str">
        <f>IF(OR($A26="",$U26="Víkend"),"",IF($V26&gt;=1,"-",PREDVOLBY!$C$19))</f>
        <v/>
      </c>
      <c r="E26" s="19" t="str">
        <f>IF(OR($A26="",$U26="Víkend"),"",IF($V26&gt;=0.5,"-",PREDVOLBY!$C$20))</f>
        <v/>
      </c>
      <c r="F26" s="19" t="str">
        <f>IF(OR($A26="",$U26="Víkend"),"",IF($V26&gt;=0.5,"-",PREDVOLBY!$C$21))</f>
        <v/>
      </c>
      <c r="G26" s="20" t="str">
        <f t="shared" si="1"/>
        <v/>
      </c>
      <c r="H26" s="20" t="str">
        <f>IF($G26="","",IF(ISNUMBER($G26),MAX(0,ROUND($G26-PREDVOLBY!$C$22*(1-$V26),2)),"-"))</f>
        <v/>
      </c>
      <c r="I26" s="21" t="str">
        <f>IF($G26="","",IF(AND(ISNUMBER($G26),$J26=""),IF($G26&gt;=PREDVOLBY!$C$26,PREDVOLBY!$C$25,"-"),"-"))</f>
        <v/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>Víkend</v>
      </c>
      <c r="V26">
        <f t="shared" si="3"/>
        <v>0</v>
      </c>
    </row>
    <row r="27" spans="1:22" ht="15.6" customHeight="1" x14ac:dyDescent="0.25">
      <c r="A27" s="17">
        <f>IF(MONTH(DATE(PREDVOLBY!$C$8,2,22))=2,DATE(PREDVOLBY!$C$8,2,22),"")</f>
        <v>46440</v>
      </c>
      <c r="B27" s="18" t="str">
        <f t="shared" si="0"/>
        <v>po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IF(MONTH(DATE(PREDVOLBY!$C$8,2,23))=2,DATE(PREDVOLBY!$C$8,2,23),"")</f>
        <v>46441</v>
      </c>
      <c r="B28" s="18" t="str">
        <f t="shared" si="0"/>
        <v>út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IF(MONTH(DATE(PREDVOLBY!$C$8,2,24))=2,DATE(PREDVOLBY!$C$8,2,24),"")</f>
        <v>46442</v>
      </c>
      <c r="B29" s="18" t="str">
        <f t="shared" si="0"/>
        <v>st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IF(MONTH(DATE(PREDVOLBY!$C$8,2,25))=2,DATE(PREDVOLBY!$C$8,2,25),"")</f>
        <v>46443</v>
      </c>
      <c r="B30" s="18" t="str">
        <f t="shared" si="0"/>
        <v>čt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IF(MONTH(DATE(PREDVOLBY!$C$8,2,26))=2,DATE(PREDVOLBY!$C$8,2,26),"")</f>
        <v>46444</v>
      </c>
      <c r="B31" s="18" t="str">
        <f t="shared" si="0"/>
        <v>pá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IF(MONTH(DATE(PREDVOLBY!$C$8,2,27))=2,DATE(PREDVOLBY!$C$8,2,27),"")</f>
        <v>46445</v>
      </c>
      <c r="B32" s="18" t="str">
        <f t="shared" si="0"/>
        <v>so</v>
      </c>
      <c r="C32" s="19" t="str">
        <f>IF(OR($A32="",$U32="Víkend"),"",IF($V32&gt;=1,"-",PREDVOLBY!$C$18))</f>
        <v/>
      </c>
      <c r="D32" s="19" t="str">
        <f>IF(OR($A32="",$U32="Víkend"),"",IF($V32&gt;=1,"-",PREDVOLBY!$C$19))</f>
        <v/>
      </c>
      <c r="E32" s="19" t="str">
        <f>IF(OR($A32="",$U32="Víkend"),"",IF($V32&gt;=0.5,"-",PREDVOLBY!$C$20))</f>
        <v/>
      </c>
      <c r="F32" s="19" t="str">
        <f>IF(OR($A32="",$U32="Víkend"),"",IF($V32&gt;=0.5,"-",PREDVOLBY!$C$21))</f>
        <v/>
      </c>
      <c r="G32" s="20" t="str">
        <f t="shared" si="1"/>
        <v/>
      </c>
      <c r="H32" s="20" t="str">
        <f>IF($G32="","",IF(ISNUMBER($G32),MAX(0,ROUND($G32-PREDVOLBY!$C$22*(1-$V32),2)),"-"))</f>
        <v/>
      </c>
      <c r="I32" s="21" t="str">
        <f>IF($G32="","",IF(AND(ISNUMBER($G32),$J32=""),IF($G32&gt;=PREDVOLBY!$C$26,PREDVOLBY!$C$25,"-"),"-"))</f>
        <v/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>Víkend</v>
      </c>
      <c r="V32">
        <f t="shared" si="3"/>
        <v>0</v>
      </c>
    </row>
    <row r="33" spans="1:22" ht="15.6" customHeight="1" x14ac:dyDescent="0.25">
      <c r="A33" s="17">
        <f>IF(MONTH(DATE(PREDVOLBY!$C$8,2,28))=2,DATE(PREDVOLBY!$C$8,2,28),"")</f>
        <v>46446</v>
      </c>
      <c r="B33" s="18" t="str">
        <f t="shared" si="0"/>
        <v>ne</v>
      </c>
      <c r="C33" s="19" t="str">
        <f>IF(OR($A33="",$U33="Víkend"),"",IF($V33&gt;=1,"-",PREDVOLBY!$C$18))</f>
        <v/>
      </c>
      <c r="D33" s="19" t="str">
        <f>IF(OR($A33="",$U33="Víkend"),"",IF($V33&gt;=1,"-",PREDVOLBY!$C$19))</f>
        <v/>
      </c>
      <c r="E33" s="19" t="str">
        <f>IF(OR($A33="",$U33="Víkend"),"",IF($V33&gt;=0.5,"-",PREDVOLBY!$C$20))</f>
        <v/>
      </c>
      <c r="F33" s="19" t="str">
        <f>IF(OR($A33="",$U33="Víkend"),"",IF($V33&gt;=0.5,"-",PREDVOLBY!$C$21))</f>
        <v/>
      </c>
      <c r="G33" s="20" t="str">
        <f t="shared" si="1"/>
        <v/>
      </c>
      <c r="H33" s="20" t="str">
        <f>IF($G33="","",IF(ISNUMBER($G33),MAX(0,ROUND($G33-PREDVOLBY!$C$22*(1-$V33),2)),"-"))</f>
        <v/>
      </c>
      <c r="I33" s="21" t="str">
        <f>IF($G33="","",IF(AND(ISNUMBER($G33),$J33=""),IF($G33&gt;=PREDVOLBY!$C$26,PREDVOLBY!$C$25,"-"),"-"))</f>
        <v/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>Víkend</v>
      </c>
      <c r="V33">
        <f t="shared" si="3"/>
        <v>0</v>
      </c>
    </row>
    <row r="34" spans="1:22" ht="15.6" customHeight="1" x14ac:dyDescent="0.25">
      <c r="A34" s="17" t="str">
        <f>IF(MONTH(DATE(PREDVOLBY!$C$8,2,29))=2,DATE(PREDVOLBY!$C$8,2,29),"")</f>
        <v/>
      </c>
      <c r="B34" s="18" t="str">
        <f t="shared" si="0"/>
        <v/>
      </c>
      <c r="C34" s="19" t="str">
        <f>IF(OR($A34="",$U34="Víkend"),"",IF($V34&gt;=1,"-",PREDVOLBY!$C$18))</f>
        <v/>
      </c>
      <c r="D34" s="19" t="str">
        <f>IF(OR($A34="",$U34="Víkend"),"",IF($V34&gt;=1,"-",PREDVOLBY!$C$19))</f>
        <v/>
      </c>
      <c r="E34" s="19" t="str">
        <f>IF(OR($A34="",$U34="Víkend"),"",IF($V34&gt;=0.5,"-",PREDVOLBY!$C$20))</f>
        <v/>
      </c>
      <c r="F34" s="19" t="str">
        <f>IF(OR($A34="",$U34="Víkend"),"",IF($V34&gt;=0.5,"-",PREDVOLBY!$C$21))</f>
        <v/>
      </c>
      <c r="G34" s="20" t="str">
        <f t="shared" si="1"/>
        <v/>
      </c>
      <c r="H34" s="20" t="str">
        <f>IF($G34="","",IF(ISNUMBER($G34),MAX(0,ROUND($G34-PREDVOLBY!$C$22*(1-$V34),2)),"-"))</f>
        <v/>
      </c>
      <c r="I34" s="21" t="str">
        <f>IF($G34="","",IF(AND(ISNUMBER($G34),$J34=""),IF($G34&gt;=PREDVOLBY!$C$26,PREDVOLBY!$C$25,"-"),"-"))</f>
        <v/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 t="str">
        <f>IF(MONTH(DATE(PREDVOLBY!$C$8,2,30))=2,DATE(PREDVOLBY!$C$8,2,30),"")</f>
        <v/>
      </c>
      <c r="B35" s="18" t="str">
        <f t="shared" si="0"/>
        <v/>
      </c>
      <c r="C35" s="19" t="str">
        <f>IF(OR($A35="",$U35="Víkend"),"",IF($V35&gt;=1,"-",PREDVOLBY!$C$18))</f>
        <v/>
      </c>
      <c r="D35" s="19" t="str">
        <f>IF(OR($A35="",$U35="Víkend"),"",IF($V35&gt;=1,"-",PREDVOLBY!$C$19))</f>
        <v/>
      </c>
      <c r="E35" s="19" t="str">
        <f>IF(OR($A35="",$U35="Víkend"),"",IF($V35&gt;=0.5,"-",PREDVOLBY!$C$20))</f>
        <v/>
      </c>
      <c r="F35" s="19" t="str">
        <f>IF(OR($A35="",$U35="Víkend"),"",IF($V35&gt;=0.5,"-",PREDVOLBY!$C$21))</f>
        <v/>
      </c>
      <c r="G35" s="20" t="str">
        <f t="shared" si="1"/>
        <v/>
      </c>
      <c r="H35" s="20" t="str">
        <f>IF($G35="","",IF(ISNUMBER($G35),MAX(0,ROUND($G35-PREDVOLBY!$C$22*(1-$V35),2)),"-"))</f>
        <v/>
      </c>
      <c r="I35" s="21" t="str">
        <f>IF($G35="","",IF(AND(ISNUMBER($G35),$J35=""),IF($G35&gt;=PREDVOLBY!$C$26,PREDVOLBY!$C$25,"-"),"-"))</f>
        <v/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 t="str">
        <f>IF(MONTH(DATE(PREDVOLBY!$C$8,2,31))=2,DATE(PREDVOLBY!$C$8,2,31),"")</f>
        <v/>
      </c>
      <c r="B36" s="18" t="str">
        <f t="shared" si="0"/>
        <v/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160</v>
      </c>
      <c r="H37" s="25">
        <f>SUM(H6:H36)</f>
        <v>0</v>
      </c>
      <c r="I37" s="26">
        <f>SUM(I6:I36)</f>
        <v>2590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0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20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"&amp;SUM('01_2027'!$K$37,'02_2027'!$K$37)&amp;" / "&amp;PREDVOLBY!$C$13&amp;" dní (zbývá "&amp;(PREDVOLBY!$C$13-SUM('01_2027'!$K$37,'02_2027'!$K$37))&amp;")"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43" priority="1">
      <formula>$U6="Víkend"</formula>
    </cfRule>
    <cfRule type="expression" dxfId="42" priority="2">
      <formula>$U6="Svátek"</formula>
    </cfRule>
  </conditionalFormatting>
  <conditionalFormatting sqref="I3:S3">
    <cfRule type="expression" dxfId="41" priority="4">
      <formula>$I$3="DOPLŇTE ÚDAJE V KARTĚ PŘEDVOLBY"</formula>
    </cfRule>
  </conditionalFormatting>
  <conditionalFormatting sqref="K6:R36">
    <cfRule type="expression" dxfId="40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3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Únor 2027&amp;R&amp;"Arial,Regular"&amp;8Strana &amp;P z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5041"/>
    <pageSetUpPr fitToPage="1"/>
  </sheetPr>
  <dimension ref="A1:V51"/>
  <sheetViews>
    <sheetView showGridLines="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87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46447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IF(MONTH(DATE(PREDVOLBY!$C$8,3,1))=3,DATE(PREDVOLBY!$C$8,3,1),"")</f>
        <v>46447</v>
      </c>
      <c r="B6" s="18" t="str">
        <f t="shared" ref="B6:B36" si="0">IF($A6="","",CHOOSE(WEEKDAY($A6,2),"po","út","st","čt","pá","so","ne"))</f>
        <v>po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IF(MONTH(DATE(PREDVOLBY!$C$8,3,2))=3,DATE(PREDVOLBY!$C$8,3,2),"")</f>
        <v>46448</v>
      </c>
      <c r="B7" s="18" t="str">
        <f t="shared" si="0"/>
        <v>út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IF(MONTH(DATE(PREDVOLBY!$C$8,3,3))=3,DATE(PREDVOLBY!$C$8,3,3),"")</f>
        <v>46449</v>
      </c>
      <c r="B8" s="18" t="str">
        <f t="shared" si="0"/>
        <v>st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IF(MONTH(DATE(PREDVOLBY!$C$8,3,4))=3,DATE(PREDVOLBY!$C$8,3,4),"")</f>
        <v>46450</v>
      </c>
      <c r="B9" s="18" t="str">
        <f t="shared" si="0"/>
        <v>čt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IF(MONTH(DATE(PREDVOLBY!$C$8,3,5))=3,DATE(PREDVOLBY!$C$8,3,5),"")</f>
        <v>46451</v>
      </c>
      <c r="B10" s="18" t="str">
        <f t="shared" si="0"/>
        <v>pá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IF(MONTH(DATE(PREDVOLBY!$C$8,3,6))=3,DATE(PREDVOLBY!$C$8,3,6),"")</f>
        <v>46452</v>
      </c>
      <c r="B11" s="18" t="str">
        <f t="shared" si="0"/>
        <v>so</v>
      </c>
      <c r="C11" s="19" t="str">
        <f>IF(OR($A11="",$U11="Víkend"),"",IF($V11&gt;=1,"-",PREDVOLBY!$C$18))</f>
        <v/>
      </c>
      <c r="D11" s="19" t="str">
        <f>IF(OR($A11="",$U11="Víkend"),"",IF($V11&gt;=1,"-",PREDVOLBY!$C$19))</f>
        <v/>
      </c>
      <c r="E11" s="19" t="str">
        <f>IF(OR($A11="",$U11="Víkend"),"",IF($V11&gt;=0.5,"-",PREDVOLBY!$C$20))</f>
        <v/>
      </c>
      <c r="F11" s="19" t="str">
        <f>IF(OR($A11="",$U11="Víkend"),"",IF($V11&gt;=0.5,"-",PREDVOLBY!$C$21))</f>
        <v/>
      </c>
      <c r="G11" s="20" t="str">
        <f t="shared" si="1"/>
        <v/>
      </c>
      <c r="H11" s="20" t="str">
        <f>IF($G11="","",IF(ISNUMBER($G11),MAX(0,ROUND($G11-PREDVOLBY!$C$22*(1-$V11),2)),"-"))</f>
        <v/>
      </c>
      <c r="I11" s="21" t="str">
        <f>IF($G11="","",IF(AND(ISNUMBER($G11),$J11=""),IF($G11&gt;=PREDVOLBY!$C$26,PREDVOLBY!$C$25,"-"),"-"))</f>
        <v/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>Víkend</v>
      </c>
      <c r="V11">
        <f t="shared" si="3"/>
        <v>0</v>
      </c>
    </row>
    <row r="12" spans="1:22" ht="15.6" customHeight="1" x14ac:dyDescent="0.25">
      <c r="A12" s="17">
        <f>IF(MONTH(DATE(PREDVOLBY!$C$8,3,7))=3,DATE(PREDVOLBY!$C$8,3,7),"")</f>
        <v>46453</v>
      </c>
      <c r="B12" s="18" t="str">
        <f t="shared" si="0"/>
        <v>ne</v>
      </c>
      <c r="C12" s="19" t="str">
        <f>IF(OR($A12="",$U12="Víkend"),"",IF($V12&gt;=1,"-",PREDVOLBY!$C$18))</f>
        <v/>
      </c>
      <c r="D12" s="19" t="str">
        <f>IF(OR($A12="",$U12="Víkend"),"",IF($V12&gt;=1,"-",PREDVOLBY!$C$19))</f>
        <v/>
      </c>
      <c r="E12" s="19" t="str">
        <f>IF(OR($A12="",$U12="Víkend"),"",IF($V12&gt;=0.5,"-",PREDVOLBY!$C$20))</f>
        <v/>
      </c>
      <c r="F12" s="19" t="str">
        <f>IF(OR($A12="",$U12="Víkend"),"",IF($V12&gt;=0.5,"-",PREDVOLBY!$C$21))</f>
        <v/>
      </c>
      <c r="G12" s="20" t="str">
        <f t="shared" si="1"/>
        <v/>
      </c>
      <c r="H12" s="20" t="str">
        <f>IF($G12="","",IF(ISNUMBER($G12),MAX(0,ROUND($G12-PREDVOLBY!$C$22*(1-$V12),2)),"-"))</f>
        <v/>
      </c>
      <c r="I12" s="21" t="str">
        <f>IF($G12="","",IF(AND(ISNUMBER($G12),$J12=""),IF($G12&gt;=PREDVOLBY!$C$26,PREDVOLBY!$C$25,"-"),"-"))</f>
        <v/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>Víkend</v>
      </c>
      <c r="V12">
        <f t="shared" si="3"/>
        <v>0</v>
      </c>
    </row>
    <row r="13" spans="1:22" ht="15.6" customHeight="1" x14ac:dyDescent="0.25">
      <c r="A13" s="17">
        <f>IF(MONTH(DATE(PREDVOLBY!$C$8,3,8))=3,DATE(PREDVOLBY!$C$8,3,8),"")</f>
        <v>46454</v>
      </c>
      <c r="B13" s="18" t="str">
        <f t="shared" si="0"/>
        <v>po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IF(MONTH(DATE(PREDVOLBY!$C$8,3,9))=3,DATE(PREDVOLBY!$C$8,3,9),"")</f>
        <v>46455</v>
      </c>
      <c r="B14" s="18" t="str">
        <f t="shared" si="0"/>
        <v>út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IF(MONTH(DATE(PREDVOLBY!$C$8,3,10))=3,DATE(PREDVOLBY!$C$8,3,10),"")</f>
        <v>46456</v>
      </c>
      <c r="B15" s="18" t="str">
        <f t="shared" si="0"/>
        <v>st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IF(MONTH(DATE(PREDVOLBY!$C$8,3,11))=3,DATE(PREDVOLBY!$C$8,3,11),"")</f>
        <v>46457</v>
      </c>
      <c r="B16" s="18" t="str">
        <f t="shared" si="0"/>
        <v>čt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IF(MONTH(DATE(PREDVOLBY!$C$8,3,12))=3,DATE(PREDVOLBY!$C$8,3,12),"")</f>
        <v>46458</v>
      </c>
      <c r="B17" s="18" t="str">
        <f t="shared" si="0"/>
        <v>pá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IF(MONTH(DATE(PREDVOLBY!$C$8,3,13))=3,DATE(PREDVOLBY!$C$8,3,13),"")</f>
        <v>46459</v>
      </c>
      <c r="B18" s="18" t="str">
        <f t="shared" si="0"/>
        <v>so</v>
      </c>
      <c r="C18" s="19" t="str">
        <f>IF(OR($A18="",$U18="Víkend"),"",IF($V18&gt;=1,"-",PREDVOLBY!$C$18))</f>
        <v/>
      </c>
      <c r="D18" s="19" t="str">
        <f>IF(OR($A18="",$U18="Víkend"),"",IF($V18&gt;=1,"-",PREDVOLBY!$C$19))</f>
        <v/>
      </c>
      <c r="E18" s="19" t="str">
        <f>IF(OR($A18="",$U18="Víkend"),"",IF($V18&gt;=0.5,"-",PREDVOLBY!$C$20))</f>
        <v/>
      </c>
      <c r="F18" s="19" t="str">
        <f>IF(OR($A18="",$U18="Víkend"),"",IF($V18&gt;=0.5,"-",PREDVOLBY!$C$21))</f>
        <v/>
      </c>
      <c r="G18" s="20" t="str">
        <f t="shared" si="1"/>
        <v/>
      </c>
      <c r="H18" s="20" t="str">
        <f>IF($G18="","",IF(ISNUMBER($G18),MAX(0,ROUND($G18-PREDVOLBY!$C$22*(1-$V18),2)),"-"))</f>
        <v/>
      </c>
      <c r="I18" s="21" t="str">
        <f>IF($G18="","",IF(AND(ISNUMBER($G18),$J18=""),IF($G18&gt;=PREDVOLBY!$C$26,PREDVOLBY!$C$25,"-"),"-"))</f>
        <v/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>Víkend</v>
      </c>
      <c r="V18">
        <f t="shared" si="3"/>
        <v>0</v>
      </c>
    </row>
    <row r="19" spans="1:22" ht="15.6" customHeight="1" x14ac:dyDescent="0.25">
      <c r="A19" s="17">
        <f>IF(MONTH(DATE(PREDVOLBY!$C$8,3,14))=3,DATE(PREDVOLBY!$C$8,3,14),"")</f>
        <v>46460</v>
      </c>
      <c r="B19" s="18" t="str">
        <f t="shared" si="0"/>
        <v>ne</v>
      </c>
      <c r="C19" s="19" t="str">
        <f>IF(OR($A19="",$U19="Víkend"),"",IF($V19&gt;=1,"-",PREDVOLBY!$C$18))</f>
        <v/>
      </c>
      <c r="D19" s="19" t="str">
        <f>IF(OR($A19="",$U19="Víkend"),"",IF($V19&gt;=1,"-",PREDVOLBY!$C$19))</f>
        <v/>
      </c>
      <c r="E19" s="19" t="str">
        <f>IF(OR($A19="",$U19="Víkend"),"",IF($V19&gt;=0.5,"-",PREDVOLBY!$C$20))</f>
        <v/>
      </c>
      <c r="F19" s="19" t="str">
        <f>IF(OR($A19="",$U19="Víkend"),"",IF($V19&gt;=0.5,"-",PREDVOLBY!$C$21))</f>
        <v/>
      </c>
      <c r="G19" s="20" t="str">
        <f t="shared" si="1"/>
        <v/>
      </c>
      <c r="H19" s="20" t="str">
        <f>IF($G19="","",IF(ISNUMBER($G19),MAX(0,ROUND($G19-PREDVOLBY!$C$22*(1-$V19),2)),"-"))</f>
        <v/>
      </c>
      <c r="I19" s="21" t="str">
        <f>IF($G19="","",IF(AND(ISNUMBER($G19),$J19=""),IF($G19&gt;=PREDVOLBY!$C$26,PREDVOLBY!$C$25,"-"),"-"))</f>
        <v/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>Víkend</v>
      </c>
      <c r="V19">
        <f t="shared" si="3"/>
        <v>0</v>
      </c>
    </row>
    <row r="20" spans="1:22" ht="15.6" customHeight="1" x14ac:dyDescent="0.25">
      <c r="A20" s="17">
        <f>IF(MONTH(DATE(PREDVOLBY!$C$8,3,15))=3,DATE(PREDVOLBY!$C$8,3,15),"")</f>
        <v>46461</v>
      </c>
      <c r="B20" s="18" t="str">
        <f t="shared" si="0"/>
        <v>po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IF(MONTH(DATE(PREDVOLBY!$C$8,3,16))=3,DATE(PREDVOLBY!$C$8,3,16),"")</f>
        <v>46462</v>
      </c>
      <c r="B21" s="18" t="str">
        <f t="shared" si="0"/>
        <v>út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IF(MONTH(DATE(PREDVOLBY!$C$8,3,17))=3,DATE(PREDVOLBY!$C$8,3,17),"")</f>
        <v>46463</v>
      </c>
      <c r="B22" s="18" t="str">
        <f t="shared" si="0"/>
        <v>st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IF(MONTH(DATE(PREDVOLBY!$C$8,3,18))=3,DATE(PREDVOLBY!$C$8,3,18),"")</f>
        <v>46464</v>
      </c>
      <c r="B23" s="18" t="str">
        <f t="shared" si="0"/>
        <v>čt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IF(MONTH(DATE(PREDVOLBY!$C$8,3,19))=3,DATE(PREDVOLBY!$C$8,3,19),"")</f>
        <v>46465</v>
      </c>
      <c r="B24" s="18" t="str">
        <f t="shared" si="0"/>
        <v>pá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IF(MONTH(DATE(PREDVOLBY!$C$8,3,20))=3,DATE(PREDVOLBY!$C$8,3,20),"")</f>
        <v>46466</v>
      </c>
      <c r="B25" s="18" t="str">
        <f t="shared" si="0"/>
        <v>so</v>
      </c>
      <c r="C25" s="19" t="str">
        <f>IF(OR($A25="",$U25="Víkend"),"",IF($V25&gt;=1,"-",PREDVOLBY!$C$18))</f>
        <v/>
      </c>
      <c r="D25" s="19" t="str">
        <f>IF(OR($A25="",$U25="Víkend"),"",IF($V25&gt;=1,"-",PREDVOLBY!$C$19))</f>
        <v/>
      </c>
      <c r="E25" s="19" t="str">
        <f>IF(OR($A25="",$U25="Víkend"),"",IF($V25&gt;=0.5,"-",PREDVOLBY!$C$20))</f>
        <v/>
      </c>
      <c r="F25" s="19" t="str">
        <f>IF(OR($A25="",$U25="Víkend"),"",IF($V25&gt;=0.5,"-",PREDVOLBY!$C$21))</f>
        <v/>
      </c>
      <c r="G25" s="20" t="str">
        <f t="shared" si="1"/>
        <v/>
      </c>
      <c r="H25" s="20" t="str">
        <f>IF($G25="","",IF(ISNUMBER($G25),MAX(0,ROUND($G25-PREDVOLBY!$C$22*(1-$V25),2)),"-"))</f>
        <v/>
      </c>
      <c r="I25" s="21" t="str">
        <f>IF($G25="","",IF(AND(ISNUMBER($G25),$J25=""),IF($G25&gt;=PREDVOLBY!$C$26,PREDVOLBY!$C$25,"-"),"-"))</f>
        <v/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>Víkend</v>
      </c>
      <c r="V25">
        <f t="shared" si="3"/>
        <v>0</v>
      </c>
    </row>
    <row r="26" spans="1:22" ht="15.6" customHeight="1" x14ac:dyDescent="0.25">
      <c r="A26" s="17">
        <f>IF(MONTH(DATE(PREDVOLBY!$C$8,3,21))=3,DATE(PREDVOLBY!$C$8,3,21),"")</f>
        <v>46467</v>
      </c>
      <c r="B26" s="18" t="str">
        <f t="shared" si="0"/>
        <v>ne</v>
      </c>
      <c r="C26" s="19" t="str">
        <f>IF(OR($A26="",$U26="Víkend"),"",IF($V26&gt;=1,"-",PREDVOLBY!$C$18))</f>
        <v/>
      </c>
      <c r="D26" s="19" t="str">
        <f>IF(OR($A26="",$U26="Víkend"),"",IF($V26&gt;=1,"-",PREDVOLBY!$C$19))</f>
        <v/>
      </c>
      <c r="E26" s="19" t="str">
        <f>IF(OR($A26="",$U26="Víkend"),"",IF($V26&gt;=0.5,"-",PREDVOLBY!$C$20))</f>
        <v/>
      </c>
      <c r="F26" s="19" t="str">
        <f>IF(OR($A26="",$U26="Víkend"),"",IF($V26&gt;=0.5,"-",PREDVOLBY!$C$21))</f>
        <v/>
      </c>
      <c r="G26" s="20" t="str">
        <f t="shared" si="1"/>
        <v/>
      </c>
      <c r="H26" s="20" t="str">
        <f>IF($G26="","",IF(ISNUMBER($G26),MAX(0,ROUND($G26-PREDVOLBY!$C$22*(1-$V26),2)),"-"))</f>
        <v/>
      </c>
      <c r="I26" s="21" t="str">
        <f>IF($G26="","",IF(AND(ISNUMBER($G26),$J26=""),IF($G26&gt;=PREDVOLBY!$C$26,PREDVOLBY!$C$25,"-"),"-"))</f>
        <v/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>Víkend</v>
      </c>
      <c r="V26">
        <f t="shared" si="3"/>
        <v>0</v>
      </c>
    </row>
    <row r="27" spans="1:22" ht="15.6" customHeight="1" x14ac:dyDescent="0.25">
      <c r="A27" s="17">
        <f>IF(MONTH(DATE(PREDVOLBY!$C$8,3,22))=3,DATE(PREDVOLBY!$C$8,3,22),"")</f>
        <v>46468</v>
      </c>
      <c r="B27" s="18" t="str">
        <f t="shared" si="0"/>
        <v>po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IF(MONTH(DATE(PREDVOLBY!$C$8,3,23))=3,DATE(PREDVOLBY!$C$8,3,23),"")</f>
        <v>46469</v>
      </c>
      <c r="B28" s="18" t="str">
        <f t="shared" si="0"/>
        <v>út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IF(MONTH(DATE(PREDVOLBY!$C$8,3,24))=3,DATE(PREDVOLBY!$C$8,3,24),"")</f>
        <v>46470</v>
      </c>
      <c r="B29" s="18" t="str">
        <f t="shared" si="0"/>
        <v>st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IF(MONTH(DATE(PREDVOLBY!$C$8,3,25))=3,DATE(PREDVOLBY!$C$8,3,25),"")</f>
        <v>46471</v>
      </c>
      <c r="B30" s="18" t="str">
        <f t="shared" si="0"/>
        <v>čt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IF(MONTH(DATE(PREDVOLBY!$C$8,3,26))=3,DATE(PREDVOLBY!$C$8,3,26),"")</f>
        <v>46472</v>
      </c>
      <c r="B31" s="18" t="str">
        <f t="shared" si="0"/>
        <v>pá</v>
      </c>
      <c r="C31" s="19" t="str">
        <f>IF(OR($A31="",$U31="Víkend"),"",IF($V31&gt;=1,"-",PREDVOLBY!$C$18))</f>
        <v>-</v>
      </c>
      <c r="D31" s="19" t="str">
        <f>IF(OR($A31="",$U31="Víkend"),"",IF($V31&gt;=1,"-",PREDVOLBY!$C$19))</f>
        <v>-</v>
      </c>
      <c r="E31" s="19" t="str">
        <f>IF(OR($A31="",$U31="Víkend"),"",IF($V31&gt;=0.5,"-",PREDVOLBY!$C$20))</f>
        <v>-</v>
      </c>
      <c r="F31" s="19" t="str">
        <f>IF(OR($A31="",$U31="Víkend"),"",IF($V31&gt;=0.5,"-",PREDVOLBY!$C$21))</f>
        <v>-</v>
      </c>
      <c r="G31" s="20" t="str">
        <f t="shared" si="1"/>
        <v>-</v>
      </c>
      <c r="H31" s="20" t="str">
        <f>IF($G31="","",IF(ISNUMBER($G31),MAX(0,ROUND($G31-PREDVOLBY!$C$22*(1-$V31),2)),"-"))</f>
        <v>-</v>
      </c>
      <c r="I31" s="21" t="str">
        <f>IF($G31="","",IF(AND(ISNUMBER($G31),$J31=""),IF($G31&gt;=PREDVOLBY!$C$26,PREDVOLBY!$C$25,"-"),"-"))</f>
        <v>-</v>
      </c>
      <c r="J31" s="18"/>
      <c r="K31" s="18"/>
      <c r="L31" s="18"/>
      <c r="M31" s="18">
        <f t="shared" si="2"/>
        <v>1</v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>Velký pátek</v>
      </c>
      <c r="U31" t="str">
        <f>IF($A31="","",IF(WEEKDAY($A31,2)&gt;5,"Víkend",IF(COUNTIF(SVATKY_2027!$B$5:$B$22,$A31)&gt;0,"Svátek","")))</f>
        <v>Svátek</v>
      </c>
      <c r="V31">
        <f t="shared" si="3"/>
        <v>1</v>
      </c>
    </row>
    <row r="32" spans="1:22" ht="15.6" customHeight="1" x14ac:dyDescent="0.25">
      <c r="A32" s="17">
        <f>IF(MONTH(DATE(PREDVOLBY!$C$8,3,27))=3,DATE(PREDVOLBY!$C$8,3,27),"")</f>
        <v>46473</v>
      </c>
      <c r="B32" s="18" t="str">
        <f t="shared" si="0"/>
        <v>so</v>
      </c>
      <c r="C32" s="19" t="str">
        <f>IF(OR($A32="",$U32="Víkend"),"",IF($V32&gt;=1,"-",PREDVOLBY!$C$18))</f>
        <v/>
      </c>
      <c r="D32" s="19" t="str">
        <f>IF(OR($A32="",$U32="Víkend"),"",IF($V32&gt;=1,"-",PREDVOLBY!$C$19))</f>
        <v/>
      </c>
      <c r="E32" s="19" t="str">
        <f>IF(OR($A32="",$U32="Víkend"),"",IF($V32&gt;=0.5,"-",PREDVOLBY!$C$20))</f>
        <v/>
      </c>
      <c r="F32" s="19" t="str">
        <f>IF(OR($A32="",$U32="Víkend"),"",IF($V32&gt;=0.5,"-",PREDVOLBY!$C$21))</f>
        <v/>
      </c>
      <c r="G32" s="20" t="str">
        <f t="shared" si="1"/>
        <v/>
      </c>
      <c r="H32" s="20" t="str">
        <f>IF($G32="","",IF(ISNUMBER($G32),MAX(0,ROUND($G32-PREDVOLBY!$C$22*(1-$V32),2)),"-"))</f>
        <v/>
      </c>
      <c r="I32" s="21" t="str">
        <f>IF($G32="","",IF(AND(ISNUMBER($G32),$J32=""),IF($G32&gt;=PREDVOLBY!$C$26,PREDVOLBY!$C$25,"-"),"-"))</f>
        <v/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>Víkend</v>
      </c>
      <c r="V32">
        <f t="shared" si="3"/>
        <v>0</v>
      </c>
    </row>
    <row r="33" spans="1:22" ht="15.6" customHeight="1" x14ac:dyDescent="0.25">
      <c r="A33" s="17">
        <f>IF(MONTH(DATE(PREDVOLBY!$C$8,3,28))=3,DATE(PREDVOLBY!$C$8,3,28),"")</f>
        <v>46474</v>
      </c>
      <c r="B33" s="18" t="str">
        <f t="shared" si="0"/>
        <v>ne</v>
      </c>
      <c r="C33" s="19" t="str">
        <f>IF(OR($A33="",$U33="Víkend"),"",IF($V33&gt;=1,"-",PREDVOLBY!$C$18))</f>
        <v/>
      </c>
      <c r="D33" s="19" t="str">
        <f>IF(OR($A33="",$U33="Víkend"),"",IF($V33&gt;=1,"-",PREDVOLBY!$C$19))</f>
        <v/>
      </c>
      <c r="E33" s="19" t="str">
        <f>IF(OR($A33="",$U33="Víkend"),"",IF($V33&gt;=0.5,"-",PREDVOLBY!$C$20))</f>
        <v/>
      </c>
      <c r="F33" s="19" t="str">
        <f>IF(OR($A33="",$U33="Víkend"),"",IF($V33&gt;=0.5,"-",PREDVOLBY!$C$21))</f>
        <v/>
      </c>
      <c r="G33" s="20" t="str">
        <f t="shared" si="1"/>
        <v/>
      </c>
      <c r="H33" s="20" t="str">
        <f>IF($G33="","",IF(ISNUMBER($G33),MAX(0,ROUND($G33-PREDVOLBY!$C$22*(1-$V33),2)),"-"))</f>
        <v/>
      </c>
      <c r="I33" s="21" t="str">
        <f>IF($G33="","",IF(AND(ISNUMBER($G33),$J33=""),IF($G33&gt;=PREDVOLBY!$C$26,PREDVOLBY!$C$25,"-"),"-"))</f>
        <v/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>Víkend</v>
      </c>
      <c r="V33">
        <f t="shared" si="3"/>
        <v>0</v>
      </c>
    </row>
    <row r="34" spans="1:22" ht="15.6" customHeight="1" x14ac:dyDescent="0.25">
      <c r="A34" s="17">
        <f>IF(MONTH(DATE(PREDVOLBY!$C$8,3,29))=3,DATE(PREDVOLBY!$C$8,3,29),"")</f>
        <v>46475</v>
      </c>
      <c r="B34" s="18" t="str">
        <f t="shared" si="0"/>
        <v>po</v>
      </c>
      <c r="C34" s="19" t="str">
        <f>IF(OR($A34="",$U34="Víkend"),"",IF($V34&gt;=1,"-",PREDVOLBY!$C$18))</f>
        <v>-</v>
      </c>
      <c r="D34" s="19" t="str">
        <f>IF(OR($A34="",$U34="Víkend"),"",IF($V34&gt;=1,"-",PREDVOLBY!$C$19))</f>
        <v>-</v>
      </c>
      <c r="E34" s="19" t="str">
        <f>IF(OR($A34="",$U34="Víkend"),"",IF($V34&gt;=0.5,"-",PREDVOLBY!$C$20))</f>
        <v>-</v>
      </c>
      <c r="F34" s="19" t="str">
        <f>IF(OR($A34="",$U34="Víkend"),"",IF($V34&gt;=0.5,"-",PREDVOLBY!$C$21))</f>
        <v>-</v>
      </c>
      <c r="G34" s="20" t="str">
        <f t="shared" si="1"/>
        <v>-</v>
      </c>
      <c r="H34" s="20" t="str">
        <f>IF($G34="","",IF(ISNUMBER($G34),MAX(0,ROUND($G34-PREDVOLBY!$C$22*(1-$V34),2)),"-"))</f>
        <v>-</v>
      </c>
      <c r="I34" s="21" t="str">
        <f>IF($G34="","",IF(AND(ISNUMBER($G34),$J34=""),IF($G34&gt;=PREDVOLBY!$C$26,PREDVOLBY!$C$25,"-"),"-"))</f>
        <v>-</v>
      </c>
      <c r="J34" s="18"/>
      <c r="K34" s="18"/>
      <c r="L34" s="18"/>
      <c r="M34" s="18">
        <f t="shared" si="2"/>
        <v>1</v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>Velikonoční pondělí</v>
      </c>
      <c r="U34" t="str">
        <f>IF($A34="","",IF(WEEKDAY($A34,2)&gt;5,"Víkend",IF(COUNTIF(SVATKY_2027!$B$5:$B$22,$A34)&gt;0,"Svátek","")))</f>
        <v>Svátek</v>
      </c>
      <c r="V34">
        <f t="shared" si="3"/>
        <v>1</v>
      </c>
    </row>
    <row r="35" spans="1:22" ht="15.6" customHeight="1" x14ac:dyDescent="0.25">
      <c r="A35" s="17">
        <f>IF(MONTH(DATE(PREDVOLBY!$C$8,3,30))=3,DATE(PREDVOLBY!$C$8,3,30),"")</f>
        <v>46476</v>
      </c>
      <c r="B35" s="18" t="str">
        <f t="shared" si="0"/>
        <v>út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>
        <f>IF(MONTH(DATE(PREDVOLBY!$C$8,3,31))=3,DATE(PREDVOLBY!$C$8,3,31),"")</f>
        <v>46477</v>
      </c>
      <c r="B36" s="18" t="str">
        <f t="shared" si="0"/>
        <v>st</v>
      </c>
      <c r="C36" s="19">
        <f>IF(OR($A36="",$U36="Víkend"),"",IF($V36&gt;=1,"-",PREDVOLBY!$C$18))</f>
        <v>0.3125</v>
      </c>
      <c r="D36" s="19">
        <f>IF(OR($A36="",$U36="Víkend"),"",IF($V36&gt;=1,"-",PREDVOLBY!$C$19))</f>
        <v>0.47916666666666669</v>
      </c>
      <c r="E36" s="19">
        <f>IF(OR($A36="",$U36="Víkend"),"",IF($V36&gt;=0.5,"-",PREDVOLBY!$C$20))</f>
        <v>0.5</v>
      </c>
      <c r="F36" s="19">
        <f>IF(OR($A36="",$U36="Víkend"),"",IF($V36&gt;=0.5,"-",PREDVOLBY!$C$21))</f>
        <v>0.66666666666666663</v>
      </c>
      <c r="G36" s="20">
        <f t="shared" si="1"/>
        <v>8</v>
      </c>
      <c r="H36" s="20">
        <f>IF($G36="","",IF(ISNUMBER($G36),MAX(0,ROUND($G36-PREDVOLBY!$C$22*(1-$V36),2)),"-"))</f>
        <v>0</v>
      </c>
      <c r="I36" s="21">
        <f>IF($G36="","",IF(AND(ISNUMBER($G36),$J36=""),IF($G36&gt;=PREDVOLBY!$C$26,PREDVOLBY!$C$25,"-"),"-"))</f>
        <v>129.5</v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168</v>
      </c>
      <c r="H37" s="25">
        <f>SUM(H6:H36)</f>
        <v>0</v>
      </c>
      <c r="I37" s="26">
        <f>SUM(I6:I36)</f>
        <v>2719.5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2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21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"&amp;SUM('01_2027'!$K$37,'02_2027'!$K$37,'03_2027'!$K$37)&amp;" / "&amp;PREDVOLBY!$C$13&amp;" dní (zbývá "&amp;(PREDVOLBY!$C$13-SUM('01_2027'!$K$37,'02_2027'!$K$37,'03_2027'!$K$37))&amp;")"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39" priority="1">
      <formula>$U6="Víkend"</formula>
    </cfRule>
    <cfRule type="expression" dxfId="38" priority="2">
      <formula>$U6="Svátek"</formula>
    </cfRule>
  </conditionalFormatting>
  <conditionalFormatting sqref="I3:S3">
    <cfRule type="expression" dxfId="37" priority="4">
      <formula>$I$3="DOPLŇTE ÚDAJE V KARTĚ PŘEDVOLBY"</formula>
    </cfRule>
  </conditionalFormatting>
  <conditionalFormatting sqref="K6:R36">
    <cfRule type="expression" dxfId="36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4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Březen 2027&amp;R&amp;"Arial,Regular"&amp;8Strana &amp;P z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9D7C"/>
    <pageSetUpPr fitToPage="1"/>
  </sheetPr>
  <dimension ref="A1:V5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88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46478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IF(MONTH(DATE(PREDVOLBY!$C$8,4,1))=4,DATE(PREDVOLBY!$C$8,4,1),"")</f>
        <v>46478</v>
      </c>
      <c r="B6" s="18" t="str">
        <f t="shared" ref="B6:B36" si="0">IF($A6="","",CHOOSE(WEEKDAY($A6,2),"po","út","st","čt","pá","so","ne"))</f>
        <v>čt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IF(MONTH(DATE(PREDVOLBY!$C$8,4,2))=4,DATE(PREDVOLBY!$C$8,4,2),"")</f>
        <v>46479</v>
      </c>
      <c r="B7" s="18" t="str">
        <f t="shared" si="0"/>
        <v>pá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IF(MONTH(DATE(PREDVOLBY!$C$8,4,3))=4,DATE(PREDVOLBY!$C$8,4,3),"")</f>
        <v>46480</v>
      </c>
      <c r="B8" s="18" t="str">
        <f t="shared" si="0"/>
        <v>so</v>
      </c>
      <c r="C8" s="19" t="str">
        <f>IF(OR($A8="",$U8="Víkend"),"",IF($V8&gt;=1,"-",PREDVOLBY!$C$18))</f>
        <v/>
      </c>
      <c r="D8" s="19" t="str">
        <f>IF(OR($A8="",$U8="Víkend"),"",IF($V8&gt;=1,"-",PREDVOLBY!$C$19))</f>
        <v/>
      </c>
      <c r="E8" s="19" t="str">
        <f>IF(OR($A8="",$U8="Víkend"),"",IF($V8&gt;=0.5,"-",PREDVOLBY!$C$20))</f>
        <v/>
      </c>
      <c r="F8" s="19" t="str">
        <f>IF(OR($A8="",$U8="Víkend"),"",IF($V8&gt;=0.5,"-",PREDVOLBY!$C$21))</f>
        <v/>
      </c>
      <c r="G8" s="20" t="str">
        <f t="shared" si="1"/>
        <v/>
      </c>
      <c r="H8" s="20" t="str">
        <f>IF($G8="","",IF(ISNUMBER($G8),MAX(0,ROUND($G8-PREDVOLBY!$C$22*(1-$V8),2)),"-"))</f>
        <v/>
      </c>
      <c r="I8" s="21" t="str">
        <f>IF($G8="","",IF(AND(ISNUMBER($G8),$J8=""),IF($G8&gt;=PREDVOLBY!$C$26,PREDVOLBY!$C$25,"-"),"-"))</f>
        <v/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>Víkend</v>
      </c>
      <c r="V8">
        <f t="shared" si="3"/>
        <v>0</v>
      </c>
    </row>
    <row r="9" spans="1:22" ht="15.6" customHeight="1" x14ac:dyDescent="0.25">
      <c r="A9" s="17">
        <f>IF(MONTH(DATE(PREDVOLBY!$C$8,4,4))=4,DATE(PREDVOLBY!$C$8,4,4),"")</f>
        <v>46481</v>
      </c>
      <c r="B9" s="18" t="str">
        <f t="shared" si="0"/>
        <v>ne</v>
      </c>
      <c r="C9" s="19" t="str">
        <f>IF(OR($A9="",$U9="Víkend"),"",IF($V9&gt;=1,"-",PREDVOLBY!$C$18))</f>
        <v/>
      </c>
      <c r="D9" s="19" t="str">
        <f>IF(OR($A9="",$U9="Víkend"),"",IF($V9&gt;=1,"-",PREDVOLBY!$C$19))</f>
        <v/>
      </c>
      <c r="E9" s="19" t="str">
        <f>IF(OR($A9="",$U9="Víkend"),"",IF($V9&gt;=0.5,"-",PREDVOLBY!$C$20))</f>
        <v/>
      </c>
      <c r="F9" s="19" t="str">
        <f>IF(OR($A9="",$U9="Víkend"),"",IF($V9&gt;=0.5,"-",PREDVOLBY!$C$21))</f>
        <v/>
      </c>
      <c r="G9" s="20" t="str">
        <f t="shared" si="1"/>
        <v/>
      </c>
      <c r="H9" s="20" t="str">
        <f>IF($G9="","",IF(ISNUMBER($G9),MAX(0,ROUND($G9-PREDVOLBY!$C$22*(1-$V9),2)),"-"))</f>
        <v/>
      </c>
      <c r="I9" s="21" t="str">
        <f>IF($G9="","",IF(AND(ISNUMBER($G9),$J9=""),IF($G9&gt;=PREDVOLBY!$C$26,PREDVOLBY!$C$25,"-"),"-"))</f>
        <v/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>Víkend</v>
      </c>
      <c r="V9">
        <f t="shared" si="3"/>
        <v>0</v>
      </c>
    </row>
    <row r="10" spans="1:22" ht="15.6" customHeight="1" x14ac:dyDescent="0.25">
      <c r="A10" s="17">
        <f>IF(MONTH(DATE(PREDVOLBY!$C$8,4,5))=4,DATE(PREDVOLBY!$C$8,4,5),"")</f>
        <v>46482</v>
      </c>
      <c r="B10" s="18" t="str">
        <f t="shared" si="0"/>
        <v>po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IF(MONTH(DATE(PREDVOLBY!$C$8,4,6))=4,DATE(PREDVOLBY!$C$8,4,6),"")</f>
        <v>46483</v>
      </c>
      <c r="B11" s="18" t="str">
        <f t="shared" si="0"/>
        <v>út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IF(MONTH(DATE(PREDVOLBY!$C$8,4,7))=4,DATE(PREDVOLBY!$C$8,4,7),"")</f>
        <v>46484</v>
      </c>
      <c r="B12" s="18" t="str">
        <f t="shared" si="0"/>
        <v>st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IF(MONTH(DATE(PREDVOLBY!$C$8,4,8))=4,DATE(PREDVOLBY!$C$8,4,8),"")</f>
        <v>46485</v>
      </c>
      <c r="B13" s="18" t="str">
        <f t="shared" si="0"/>
        <v>čt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IF(MONTH(DATE(PREDVOLBY!$C$8,4,9))=4,DATE(PREDVOLBY!$C$8,4,9),"")</f>
        <v>46486</v>
      </c>
      <c r="B14" s="18" t="str">
        <f t="shared" si="0"/>
        <v>pá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IF(MONTH(DATE(PREDVOLBY!$C$8,4,10))=4,DATE(PREDVOLBY!$C$8,4,10),"")</f>
        <v>46487</v>
      </c>
      <c r="B15" s="18" t="str">
        <f t="shared" si="0"/>
        <v>so</v>
      </c>
      <c r="C15" s="19" t="str">
        <f>IF(OR($A15="",$U15="Víkend"),"",IF($V15&gt;=1,"-",PREDVOLBY!$C$18))</f>
        <v/>
      </c>
      <c r="D15" s="19" t="str">
        <f>IF(OR($A15="",$U15="Víkend"),"",IF($V15&gt;=1,"-",PREDVOLBY!$C$19))</f>
        <v/>
      </c>
      <c r="E15" s="19" t="str">
        <f>IF(OR($A15="",$U15="Víkend"),"",IF($V15&gt;=0.5,"-",PREDVOLBY!$C$20))</f>
        <v/>
      </c>
      <c r="F15" s="19" t="str">
        <f>IF(OR($A15="",$U15="Víkend"),"",IF($V15&gt;=0.5,"-",PREDVOLBY!$C$21))</f>
        <v/>
      </c>
      <c r="G15" s="20" t="str">
        <f t="shared" si="1"/>
        <v/>
      </c>
      <c r="H15" s="20" t="str">
        <f>IF($G15="","",IF(ISNUMBER($G15),MAX(0,ROUND($G15-PREDVOLBY!$C$22*(1-$V15),2)),"-"))</f>
        <v/>
      </c>
      <c r="I15" s="21" t="str">
        <f>IF($G15="","",IF(AND(ISNUMBER($G15),$J15=""),IF($G15&gt;=PREDVOLBY!$C$26,PREDVOLBY!$C$25,"-"),"-"))</f>
        <v/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>Víkend</v>
      </c>
      <c r="V15">
        <f t="shared" si="3"/>
        <v>0</v>
      </c>
    </row>
    <row r="16" spans="1:22" ht="15.6" customHeight="1" x14ac:dyDescent="0.25">
      <c r="A16" s="17">
        <f>IF(MONTH(DATE(PREDVOLBY!$C$8,4,11))=4,DATE(PREDVOLBY!$C$8,4,11),"")</f>
        <v>46488</v>
      </c>
      <c r="B16" s="18" t="str">
        <f t="shared" si="0"/>
        <v>ne</v>
      </c>
      <c r="C16" s="19" t="str">
        <f>IF(OR($A16="",$U16="Víkend"),"",IF($V16&gt;=1,"-",PREDVOLBY!$C$18))</f>
        <v/>
      </c>
      <c r="D16" s="19" t="str">
        <f>IF(OR($A16="",$U16="Víkend"),"",IF($V16&gt;=1,"-",PREDVOLBY!$C$19))</f>
        <v/>
      </c>
      <c r="E16" s="19" t="str">
        <f>IF(OR($A16="",$U16="Víkend"),"",IF($V16&gt;=0.5,"-",PREDVOLBY!$C$20))</f>
        <v/>
      </c>
      <c r="F16" s="19" t="str">
        <f>IF(OR($A16="",$U16="Víkend"),"",IF($V16&gt;=0.5,"-",PREDVOLBY!$C$21))</f>
        <v/>
      </c>
      <c r="G16" s="20" t="str">
        <f t="shared" si="1"/>
        <v/>
      </c>
      <c r="H16" s="20" t="str">
        <f>IF($G16="","",IF(ISNUMBER($G16),MAX(0,ROUND($G16-PREDVOLBY!$C$22*(1-$V16),2)),"-"))</f>
        <v/>
      </c>
      <c r="I16" s="21" t="str">
        <f>IF($G16="","",IF(AND(ISNUMBER($G16),$J16=""),IF($G16&gt;=PREDVOLBY!$C$26,PREDVOLBY!$C$25,"-"),"-"))</f>
        <v/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>Víkend</v>
      </c>
      <c r="V16">
        <f t="shared" si="3"/>
        <v>0</v>
      </c>
    </row>
    <row r="17" spans="1:22" ht="15.6" customHeight="1" x14ac:dyDescent="0.25">
      <c r="A17" s="17">
        <f>IF(MONTH(DATE(PREDVOLBY!$C$8,4,12))=4,DATE(PREDVOLBY!$C$8,4,12),"")</f>
        <v>46489</v>
      </c>
      <c r="B17" s="18" t="str">
        <f t="shared" si="0"/>
        <v>po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IF(MONTH(DATE(PREDVOLBY!$C$8,4,13))=4,DATE(PREDVOLBY!$C$8,4,13),"")</f>
        <v>46490</v>
      </c>
      <c r="B18" s="18" t="str">
        <f t="shared" si="0"/>
        <v>út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IF(MONTH(DATE(PREDVOLBY!$C$8,4,14))=4,DATE(PREDVOLBY!$C$8,4,14),"")</f>
        <v>46491</v>
      </c>
      <c r="B19" s="18" t="str">
        <f t="shared" si="0"/>
        <v>st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IF(MONTH(DATE(PREDVOLBY!$C$8,4,15))=4,DATE(PREDVOLBY!$C$8,4,15),"")</f>
        <v>46492</v>
      </c>
      <c r="B20" s="18" t="str">
        <f t="shared" si="0"/>
        <v>čt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IF(MONTH(DATE(PREDVOLBY!$C$8,4,16))=4,DATE(PREDVOLBY!$C$8,4,16),"")</f>
        <v>46493</v>
      </c>
      <c r="B21" s="18" t="str">
        <f t="shared" si="0"/>
        <v>pá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IF(MONTH(DATE(PREDVOLBY!$C$8,4,17))=4,DATE(PREDVOLBY!$C$8,4,17),"")</f>
        <v>46494</v>
      </c>
      <c r="B22" s="18" t="str">
        <f t="shared" si="0"/>
        <v>so</v>
      </c>
      <c r="C22" s="19" t="str">
        <f>IF(OR($A22="",$U22="Víkend"),"",IF($V22&gt;=1,"-",PREDVOLBY!$C$18))</f>
        <v/>
      </c>
      <c r="D22" s="19" t="str">
        <f>IF(OR($A22="",$U22="Víkend"),"",IF($V22&gt;=1,"-",PREDVOLBY!$C$19))</f>
        <v/>
      </c>
      <c r="E22" s="19" t="str">
        <f>IF(OR($A22="",$U22="Víkend"),"",IF($V22&gt;=0.5,"-",PREDVOLBY!$C$20))</f>
        <v/>
      </c>
      <c r="F22" s="19" t="str">
        <f>IF(OR($A22="",$U22="Víkend"),"",IF($V22&gt;=0.5,"-",PREDVOLBY!$C$21))</f>
        <v/>
      </c>
      <c r="G22" s="20" t="str">
        <f t="shared" si="1"/>
        <v/>
      </c>
      <c r="H22" s="20" t="str">
        <f>IF($G22="","",IF(ISNUMBER($G22),MAX(0,ROUND($G22-PREDVOLBY!$C$22*(1-$V22),2)),"-"))</f>
        <v/>
      </c>
      <c r="I22" s="21" t="str">
        <f>IF($G22="","",IF(AND(ISNUMBER($G22),$J22=""),IF($G22&gt;=PREDVOLBY!$C$26,PREDVOLBY!$C$25,"-"),"-"))</f>
        <v/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>Víkend</v>
      </c>
      <c r="V22">
        <f t="shared" si="3"/>
        <v>0</v>
      </c>
    </row>
    <row r="23" spans="1:22" ht="15.6" customHeight="1" x14ac:dyDescent="0.25">
      <c r="A23" s="17">
        <f>IF(MONTH(DATE(PREDVOLBY!$C$8,4,18))=4,DATE(PREDVOLBY!$C$8,4,18),"")</f>
        <v>46495</v>
      </c>
      <c r="B23" s="18" t="str">
        <f t="shared" si="0"/>
        <v>ne</v>
      </c>
      <c r="C23" s="19" t="str">
        <f>IF(OR($A23="",$U23="Víkend"),"",IF($V23&gt;=1,"-",PREDVOLBY!$C$18))</f>
        <v/>
      </c>
      <c r="D23" s="19" t="str">
        <f>IF(OR($A23="",$U23="Víkend"),"",IF($V23&gt;=1,"-",PREDVOLBY!$C$19))</f>
        <v/>
      </c>
      <c r="E23" s="19" t="str">
        <f>IF(OR($A23="",$U23="Víkend"),"",IF($V23&gt;=0.5,"-",PREDVOLBY!$C$20))</f>
        <v/>
      </c>
      <c r="F23" s="19" t="str">
        <f>IF(OR($A23="",$U23="Víkend"),"",IF($V23&gt;=0.5,"-",PREDVOLBY!$C$21))</f>
        <v/>
      </c>
      <c r="G23" s="20" t="str">
        <f t="shared" si="1"/>
        <v/>
      </c>
      <c r="H23" s="20" t="str">
        <f>IF($G23="","",IF(ISNUMBER($G23),MAX(0,ROUND($G23-PREDVOLBY!$C$22*(1-$V23),2)),"-"))</f>
        <v/>
      </c>
      <c r="I23" s="21" t="str">
        <f>IF($G23="","",IF(AND(ISNUMBER($G23),$J23=""),IF($G23&gt;=PREDVOLBY!$C$26,PREDVOLBY!$C$25,"-"),"-"))</f>
        <v/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>Víkend</v>
      </c>
      <c r="V23">
        <f t="shared" si="3"/>
        <v>0</v>
      </c>
    </row>
    <row r="24" spans="1:22" ht="15.6" customHeight="1" x14ac:dyDescent="0.25">
      <c r="A24" s="17">
        <f>IF(MONTH(DATE(PREDVOLBY!$C$8,4,19))=4,DATE(PREDVOLBY!$C$8,4,19),"")</f>
        <v>46496</v>
      </c>
      <c r="B24" s="18" t="str">
        <f t="shared" si="0"/>
        <v>po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IF(MONTH(DATE(PREDVOLBY!$C$8,4,20))=4,DATE(PREDVOLBY!$C$8,4,20),"")</f>
        <v>46497</v>
      </c>
      <c r="B25" s="18" t="str">
        <f t="shared" si="0"/>
        <v>út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IF(MONTH(DATE(PREDVOLBY!$C$8,4,21))=4,DATE(PREDVOLBY!$C$8,4,21),"")</f>
        <v>46498</v>
      </c>
      <c r="B26" s="18" t="str">
        <f t="shared" si="0"/>
        <v>st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IF(MONTH(DATE(PREDVOLBY!$C$8,4,22))=4,DATE(PREDVOLBY!$C$8,4,22),"")</f>
        <v>46499</v>
      </c>
      <c r="B27" s="18" t="str">
        <f t="shared" si="0"/>
        <v>čt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IF(MONTH(DATE(PREDVOLBY!$C$8,4,23))=4,DATE(PREDVOLBY!$C$8,4,23),"")</f>
        <v>46500</v>
      </c>
      <c r="B28" s="18" t="str">
        <f t="shared" si="0"/>
        <v>pá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IF(MONTH(DATE(PREDVOLBY!$C$8,4,24))=4,DATE(PREDVOLBY!$C$8,4,24),"")</f>
        <v>46501</v>
      </c>
      <c r="B29" s="18" t="str">
        <f t="shared" si="0"/>
        <v>so</v>
      </c>
      <c r="C29" s="19" t="str">
        <f>IF(OR($A29="",$U29="Víkend"),"",IF($V29&gt;=1,"-",PREDVOLBY!$C$18))</f>
        <v/>
      </c>
      <c r="D29" s="19" t="str">
        <f>IF(OR($A29="",$U29="Víkend"),"",IF($V29&gt;=1,"-",PREDVOLBY!$C$19))</f>
        <v/>
      </c>
      <c r="E29" s="19" t="str">
        <f>IF(OR($A29="",$U29="Víkend"),"",IF($V29&gt;=0.5,"-",PREDVOLBY!$C$20))</f>
        <v/>
      </c>
      <c r="F29" s="19" t="str">
        <f>IF(OR($A29="",$U29="Víkend"),"",IF($V29&gt;=0.5,"-",PREDVOLBY!$C$21))</f>
        <v/>
      </c>
      <c r="G29" s="20" t="str">
        <f t="shared" si="1"/>
        <v/>
      </c>
      <c r="H29" s="20" t="str">
        <f>IF($G29="","",IF(ISNUMBER($G29),MAX(0,ROUND($G29-PREDVOLBY!$C$22*(1-$V29),2)),"-"))</f>
        <v/>
      </c>
      <c r="I29" s="21" t="str">
        <f>IF($G29="","",IF(AND(ISNUMBER($G29),$J29=""),IF($G29&gt;=PREDVOLBY!$C$26,PREDVOLBY!$C$25,"-"),"-"))</f>
        <v/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>Víkend</v>
      </c>
      <c r="V29">
        <f t="shared" si="3"/>
        <v>0</v>
      </c>
    </row>
    <row r="30" spans="1:22" ht="15.6" customHeight="1" x14ac:dyDescent="0.25">
      <c r="A30" s="17">
        <f>IF(MONTH(DATE(PREDVOLBY!$C$8,4,25))=4,DATE(PREDVOLBY!$C$8,4,25),"")</f>
        <v>46502</v>
      </c>
      <c r="B30" s="18" t="str">
        <f t="shared" si="0"/>
        <v>ne</v>
      </c>
      <c r="C30" s="19" t="str">
        <f>IF(OR($A30="",$U30="Víkend"),"",IF($V30&gt;=1,"-",PREDVOLBY!$C$18))</f>
        <v/>
      </c>
      <c r="D30" s="19" t="str">
        <f>IF(OR($A30="",$U30="Víkend"),"",IF($V30&gt;=1,"-",PREDVOLBY!$C$19))</f>
        <v/>
      </c>
      <c r="E30" s="19" t="str">
        <f>IF(OR($A30="",$U30="Víkend"),"",IF($V30&gt;=0.5,"-",PREDVOLBY!$C$20))</f>
        <v/>
      </c>
      <c r="F30" s="19" t="str">
        <f>IF(OR($A30="",$U30="Víkend"),"",IF($V30&gt;=0.5,"-",PREDVOLBY!$C$21))</f>
        <v/>
      </c>
      <c r="G30" s="20" t="str">
        <f t="shared" si="1"/>
        <v/>
      </c>
      <c r="H30" s="20" t="str">
        <f>IF($G30="","",IF(ISNUMBER($G30),MAX(0,ROUND($G30-PREDVOLBY!$C$22*(1-$V30),2)),"-"))</f>
        <v/>
      </c>
      <c r="I30" s="21" t="str">
        <f>IF($G30="","",IF(AND(ISNUMBER($G30),$J30=""),IF($G30&gt;=PREDVOLBY!$C$26,PREDVOLBY!$C$25,"-"),"-"))</f>
        <v/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>Víkend</v>
      </c>
      <c r="V30">
        <f t="shared" si="3"/>
        <v>0</v>
      </c>
    </row>
    <row r="31" spans="1:22" ht="15.6" customHeight="1" x14ac:dyDescent="0.25">
      <c r="A31" s="17">
        <f>IF(MONTH(DATE(PREDVOLBY!$C$8,4,26))=4,DATE(PREDVOLBY!$C$8,4,26),"")</f>
        <v>46503</v>
      </c>
      <c r="B31" s="18" t="str">
        <f t="shared" si="0"/>
        <v>po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IF(MONTH(DATE(PREDVOLBY!$C$8,4,27))=4,DATE(PREDVOLBY!$C$8,4,27),"")</f>
        <v>46504</v>
      </c>
      <c r="B32" s="18" t="str">
        <f t="shared" si="0"/>
        <v>út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IF(MONTH(DATE(PREDVOLBY!$C$8,4,28))=4,DATE(PREDVOLBY!$C$8,4,28),"")</f>
        <v>46505</v>
      </c>
      <c r="B33" s="18" t="str">
        <f t="shared" si="0"/>
        <v>st</v>
      </c>
      <c r="C33" s="19">
        <f>IF(OR($A33="",$U33="Víkend"),"",IF($V33&gt;=1,"-",PREDVOLBY!$C$18))</f>
        <v>0.3125</v>
      </c>
      <c r="D33" s="19">
        <f>IF(OR($A33="",$U33="Víkend"),"",IF($V33&gt;=1,"-",PREDVOLBY!$C$19))</f>
        <v>0.47916666666666669</v>
      </c>
      <c r="E33" s="19">
        <f>IF(OR($A33="",$U33="Víkend"),"",IF($V33&gt;=0.5,"-",PREDVOLBY!$C$20))</f>
        <v>0.5</v>
      </c>
      <c r="F33" s="19">
        <f>IF(OR($A33="",$U33="Víkend"),"",IF($V33&gt;=0.5,"-",PREDVOLBY!$C$21))</f>
        <v>0.66666666666666663</v>
      </c>
      <c r="G33" s="20">
        <f t="shared" si="1"/>
        <v>8</v>
      </c>
      <c r="H33" s="20">
        <f>IF($G33="","",IF(ISNUMBER($G33),MAX(0,ROUND($G33-PREDVOLBY!$C$22*(1-$V33),2)),"-"))</f>
        <v>0</v>
      </c>
      <c r="I33" s="21">
        <f>IF($G33="","",IF(AND(ISNUMBER($G33),$J33=""),IF($G33&gt;=PREDVOLBY!$C$26,PREDVOLBY!$C$25,"-"),"-"))</f>
        <v>129.5</v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/>
      </c>
      <c r="V33">
        <f t="shared" si="3"/>
        <v>0</v>
      </c>
    </row>
    <row r="34" spans="1:22" ht="15.6" customHeight="1" x14ac:dyDescent="0.25">
      <c r="A34" s="17">
        <f>IF(MONTH(DATE(PREDVOLBY!$C$8,4,29))=4,DATE(PREDVOLBY!$C$8,4,29),"")</f>
        <v>46506</v>
      </c>
      <c r="B34" s="18" t="str">
        <f t="shared" si="0"/>
        <v>čt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IF(MONTH(DATE(PREDVOLBY!$C$8,4,30))=4,DATE(PREDVOLBY!$C$8,4,30),"")</f>
        <v>46507</v>
      </c>
      <c r="B35" s="18" t="str">
        <f t="shared" si="0"/>
        <v>pá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 t="str">
        <f>IF(MONTH(DATE(PREDVOLBY!$C$8,4,31))=4,DATE(PREDVOLBY!$C$8,4,31),"")</f>
        <v/>
      </c>
      <c r="B36" s="18" t="str">
        <f t="shared" si="0"/>
        <v/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176</v>
      </c>
      <c r="H37" s="25">
        <f>SUM(H6:H36)</f>
        <v>0</v>
      </c>
      <c r="I37" s="26">
        <f>SUM(I6:I36)</f>
        <v>2849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0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22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"&amp;SUM('01_2027'!$K$37,'02_2027'!$K$37,'03_2027'!$K$37,'04_2027'!$K$37)&amp;" / "&amp;PREDVOLBY!$C$13&amp;" dní (zbývá "&amp;(PREDVOLBY!$C$13-SUM('01_2027'!$K$37,'02_2027'!$K$37,'03_2027'!$K$37,'04_2027'!$K$37))&amp;")"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35" priority="1">
      <formula>$U6="Víkend"</formula>
    </cfRule>
    <cfRule type="expression" dxfId="34" priority="2">
      <formula>$U6="Svátek"</formula>
    </cfRule>
  </conditionalFormatting>
  <conditionalFormatting sqref="I3:S3">
    <cfRule type="expression" dxfId="33" priority="4">
      <formula>$I$3="DOPLŇTE ÚDAJE V KARTĚ PŘEDVOLBY"</formula>
    </cfRule>
  </conditionalFormatting>
  <conditionalFormatting sqref="K6:R36">
    <cfRule type="expression" dxfId="32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5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Duben 2027&amp;R&amp;"Arial,Regular"&amp;8Strana &amp;P z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5041"/>
    <pageSetUpPr fitToPage="1"/>
  </sheetPr>
  <dimension ref="A1:V51"/>
  <sheetViews>
    <sheetView showGridLines="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89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46508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IF(MONTH(DATE(PREDVOLBY!$C$8,5,1))=5,DATE(PREDVOLBY!$C$8,5,1),"")</f>
        <v>46508</v>
      </c>
      <c r="B6" s="18" t="str">
        <f t="shared" ref="B6:B36" si="0">IF($A6="","",CHOOSE(WEEKDAY($A6,2),"po","út","st","čt","pá","so","ne"))</f>
        <v>so</v>
      </c>
      <c r="C6" s="19" t="str">
        <f>IF(OR($A6="",$U6="Víkend"),"",IF($V6&gt;=1,"-",PREDVOLBY!$C$18))</f>
        <v/>
      </c>
      <c r="D6" s="19" t="str">
        <f>IF(OR($A6="",$U6="Víkend"),"",IF($V6&gt;=1,"-",PREDVOLBY!$C$19))</f>
        <v/>
      </c>
      <c r="E6" s="19" t="str">
        <f>IF(OR($A6="",$U6="Víkend"),"",IF($V6&gt;=0.5,"-",PREDVOLBY!$C$20))</f>
        <v/>
      </c>
      <c r="F6" s="19" t="str">
        <f>IF(OR($A6="",$U6="Víkend"),"",IF($V6&gt;=0.5,"-",PREDVOLBY!$C$21))</f>
        <v/>
      </c>
      <c r="G6" s="20" t="str">
        <f t="shared" ref="G6:G36" si="1">IF(OR($A6="",$U6="Víkend"),"",IF(ISNUMBER($C6)+ISNUMBER($E6)=0,"-",ROUND((IF(ISNUMBER($C6),$D6-$C6,0)+IF(ISNUMBER($E6),$F6-$E6,0))*24,2)))</f>
        <v/>
      </c>
      <c r="H6" s="20" t="str">
        <f>IF($G6="","",IF(ISNUMBER($G6),MAX(0,ROUND($G6-PREDVOLBY!$C$22*(1-$V6),2)),"-"))</f>
        <v/>
      </c>
      <c r="I6" s="21" t="str">
        <f>IF($G6="","",IF(AND(ISNUMBER($G6),$J6=""),IF($G6&gt;=PREDVOLBY!$C$26,PREDVOLBY!$C$25,"-"),"-"))</f>
        <v/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>Víkend</v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IF(MONTH(DATE(PREDVOLBY!$C$8,5,2))=5,DATE(PREDVOLBY!$C$8,5,2),"")</f>
        <v>46509</v>
      </c>
      <c r="B7" s="18" t="str">
        <f t="shared" si="0"/>
        <v>ne</v>
      </c>
      <c r="C7" s="19" t="str">
        <f>IF(OR($A7="",$U7="Víkend"),"",IF($V7&gt;=1,"-",PREDVOLBY!$C$18))</f>
        <v/>
      </c>
      <c r="D7" s="19" t="str">
        <f>IF(OR($A7="",$U7="Víkend"),"",IF($V7&gt;=1,"-",PREDVOLBY!$C$19))</f>
        <v/>
      </c>
      <c r="E7" s="19" t="str">
        <f>IF(OR($A7="",$U7="Víkend"),"",IF($V7&gt;=0.5,"-",PREDVOLBY!$C$20))</f>
        <v/>
      </c>
      <c r="F7" s="19" t="str">
        <f>IF(OR($A7="",$U7="Víkend"),"",IF($V7&gt;=0.5,"-",PREDVOLBY!$C$21))</f>
        <v/>
      </c>
      <c r="G7" s="20" t="str">
        <f t="shared" si="1"/>
        <v/>
      </c>
      <c r="H7" s="20" t="str">
        <f>IF($G7="","",IF(ISNUMBER($G7),MAX(0,ROUND($G7-PREDVOLBY!$C$22*(1-$V7),2)),"-"))</f>
        <v/>
      </c>
      <c r="I7" s="21" t="str">
        <f>IF($G7="","",IF(AND(ISNUMBER($G7),$J7=""),IF($G7&gt;=PREDVOLBY!$C$26,PREDVOLBY!$C$25,"-"),"-"))</f>
        <v/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>Víkend</v>
      </c>
      <c r="V7">
        <f t="shared" si="3"/>
        <v>0</v>
      </c>
    </row>
    <row r="8" spans="1:22" ht="15.6" customHeight="1" x14ac:dyDescent="0.25">
      <c r="A8" s="17">
        <f>IF(MONTH(DATE(PREDVOLBY!$C$8,5,3))=5,DATE(PREDVOLBY!$C$8,5,3),"")</f>
        <v>46510</v>
      </c>
      <c r="B8" s="18" t="str">
        <f t="shared" si="0"/>
        <v>po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IF(MONTH(DATE(PREDVOLBY!$C$8,5,4))=5,DATE(PREDVOLBY!$C$8,5,4),"")</f>
        <v>46511</v>
      </c>
      <c r="B9" s="18" t="str">
        <f t="shared" si="0"/>
        <v>út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IF(MONTH(DATE(PREDVOLBY!$C$8,5,5))=5,DATE(PREDVOLBY!$C$8,5,5),"")</f>
        <v>46512</v>
      </c>
      <c r="B10" s="18" t="str">
        <f t="shared" si="0"/>
        <v>st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IF(MONTH(DATE(PREDVOLBY!$C$8,5,6))=5,DATE(PREDVOLBY!$C$8,5,6),"")</f>
        <v>46513</v>
      </c>
      <c r="B11" s="18" t="str">
        <f t="shared" si="0"/>
        <v>čt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IF(MONTH(DATE(PREDVOLBY!$C$8,5,7))=5,DATE(PREDVOLBY!$C$8,5,7),"")</f>
        <v>46514</v>
      </c>
      <c r="B12" s="18" t="str">
        <f t="shared" si="0"/>
        <v>pá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IF(MONTH(DATE(PREDVOLBY!$C$8,5,8))=5,DATE(PREDVOLBY!$C$8,5,8),"")</f>
        <v>46515</v>
      </c>
      <c r="B13" s="18" t="str">
        <f t="shared" si="0"/>
        <v>so</v>
      </c>
      <c r="C13" s="19" t="str">
        <f>IF(OR($A13="",$U13="Víkend"),"",IF($V13&gt;=1,"-",PREDVOLBY!$C$18))</f>
        <v/>
      </c>
      <c r="D13" s="19" t="str">
        <f>IF(OR($A13="",$U13="Víkend"),"",IF($V13&gt;=1,"-",PREDVOLBY!$C$19))</f>
        <v/>
      </c>
      <c r="E13" s="19" t="str">
        <f>IF(OR($A13="",$U13="Víkend"),"",IF($V13&gt;=0.5,"-",PREDVOLBY!$C$20))</f>
        <v/>
      </c>
      <c r="F13" s="19" t="str">
        <f>IF(OR($A13="",$U13="Víkend"),"",IF($V13&gt;=0.5,"-",PREDVOLBY!$C$21))</f>
        <v/>
      </c>
      <c r="G13" s="20" t="str">
        <f t="shared" si="1"/>
        <v/>
      </c>
      <c r="H13" s="20" t="str">
        <f>IF($G13="","",IF(ISNUMBER($G13),MAX(0,ROUND($G13-PREDVOLBY!$C$22*(1-$V13),2)),"-"))</f>
        <v/>
      </c>
      <c r="I13" s="21" t="str">
        <f>IF($G13="","",IF(AND(ISNUMBER($G13),$J13=""),IF($G13&gt;=PREDVOLBY!$C$26,PREDVOLBY!$C$25,"-"),"-"))</f>
        <v/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>Víkend</v>
      </c>
      <c r="V13">
        <f t="shared" si="3"/>
        <v>0</v>
      </c>
    </row>
    <row r="14" spans="1:22" ht="15.6" customHeight="1" x14ac:dyDescent="0.25">
      <c r="A14" s="17">
        <f>IF(MONTH(DATE(PREDVOLBY!$C$8,5,9))=5,DATE(PREDVOLBY!$C$8,5,9),"")</f>
        <v>46516</v>
      </c>
      <c r="B14" s="18" t="str">
        <f t="shared" si="0"/>
        <v>ne</v>
      </c>
      <c r="C14" s="19" t="str">
        <f>IF(OR($A14="",$U14="Víkend"),"",IF($V14&gt;=1,"-",PREDVOLBY!$C$18))</f>
        <v/>
      </c>
      <c r="D14" s="19" t="str">
        <f>IF(OR($A14="",$U14="Víkend"),"",IF($V14&gt;=1,"-",PREDVOLBY!$C$19))</f>
        <v/>
      </c>
      <c r="E14" s="19" t="str">
        <f>IF(OR($A14="",$U14="Víkend"),"",IF($V14&gt;=0.5,"-",PREDVOLBY!$C$20))</f>
        <v/>
      </c>
      <c r="F14" s="19" t="str">
        <f>IF(OR($A14="",$U14="Víkend"),"",IF($V14&gt;=0.5,"-",PREDVOLBY!$C$21))</f>
        <v/>
      </c>
      <c r="G14" s="20" t="str">
        <f t="shared" si="1"/>
        <v/>
      </c>
      <c r="H14" s="20" t="str">
        <f>IF($G14="","",IF(ISNUMBER($G14),MAX(0,ROUND($G14-PREDVOLBY!$C$22*(1-$V14),2)),"-"))</f>
        <v/>
      </c>
      <c r="I14" s="21" t="str">
        <f>IF($G14="","",IF(AND(ISNUMBER($G14),$J14=""),IF($G14&gt;=PREDVOLBY!$C$26,PREDVOLBY!$C$25,"-"),"-"))</f>
        <v/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>Víkend</v>
      </c>
      <c r="V14">
        <f t="shared" si="3"/>
        <v>0</v>
      </c>
    </row>
    <row r="15" spans="1:22" ht="15.6" customHeight="1" x14ac:dyDescent="0.25">
      <c r="A15" s="17">
        <f>IF(MONTH(DATE(PREDVOLBY!$C$8,5,10))=5,DATE(PREDVOLBY!$C$8,5,10),"")</f>
        <v>46517</v>
      </c>
      <c r="B15" s="18" t="str">
        <f t="shared" si="0"/>
        <v>po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IF(MONTH(DATE(PREDVOLBY!$C$8,5,11))=5,DATE(PREDVOLBY!$C$8,5,11),"")</f>
        <v>46518</v>
      </c>
      <c r="B16" s="18" t="str">
        <f t="shared" si="0"/>
        <v>út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IF(MONTH(DATE(PREDVOLBY!$C$8,5,12))=5,DATE(PREDVOLBY!$C$8,5,12),"")</f>
        <v>46519</v>
      </c>
      <c r="B17" s="18" t="str">
        <f t="shared" si="0"/>
        <v>st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IF(MONTH(DATE(PREDVOLBY!$C$8,5,13))=5,DATE(PREDVOLBY!$C$8,5,13),"")</f>
        <v>46520</v>
      </c>
      <c r="B18" s="18" t="str">
        <f t="shared" si="0"/>
        <v>čt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IF(MONTH(DATE(PREDVOLBY!$C$8,5,14))=5,DATE(PREDVOLBY!$C$8,5,14),"")</f>
        <v>46521</v>
      </c>
      <c r="B19" s="18" t="str">
        <f t="shared" si="0"/>
        <v>pá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IF(MONTH(DATE(PREDVOLBY!$C$8,5,15))=5,DATE(PREDVOLBY!$C$8,5,15),"")</f>
        <v>46522</v>
      </c>
      <c r="B20" s="18" t="str">
        <f t="shared" si="0"/>
        <v>so</v>
      </c>
      <c r="C20" s="19" t="str">
        <f>IF(OR($A20="",$U20="Víkend"),"",IF($V20&gt;=1,"-",PREDVOLBY!$C$18))</f>
        <v/>
      </c>
      <c r="D20" s="19" t="str">
        <f>IF(OR($A20="",$U20="Víkend"),"",IF($V20&gt;=1,"-",PREDVOLBY!$C$19))</f>
        <v/>
      </c>
      <c r="E20" s="19" t="str">
        <f>IF(OR($A20="",$U20="Víkend"),"",IF($V20&gt;=0.5,"-",PREDVOLBY!$C$20))</f>
        <v/>
      </c>
      <c r="F20" s="19" t="str">
        <f>IF(OR($A20="",$U20="Víkend"),"",IF($V20&gt;=0.5,"-",PREDVOLBY!$C$21))</f>
        <v/>
      </c>
      <c r="G20" s="20" t="str">
        <f t="shared" si="1"/>
        <v/>
      </c>
      <c r="H20" s="20" t="str">
        <f>IF($G20="","",IF(ISNUMBER($G20),MAX(0,ROUND($G20-PREDVOLBY!$C$22*(1-$V20),2)),"-"))</f>
        <v/>
      </c>
      <c r="I20" s="21" t="str">
        <f>IF($G20="","",IF(AND(ISNUMBER($G20),$J20=""),IF($G20&gt;=PREDVOLBY!$C$26,PREDVOLBY!$C$25,"-"),"-"))</f>
        <v/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>Víkend</v>
      </c>
      <c r="V20">
        <f t="shared" si="3"/>
        <v>0</v>
      </c>
    </row>
    <row r="21" spans="1:22" ht="15.6" customHeight="1" x14ac:dyDescent="0.25">
      <c r="A21" s="17">
        <f>IF(MONTH(DATE(PREDVOLBY!$C$8,5,16))=5,DATE(PREDVOLBY!$C$8,5,16),"")</f>
        <v>46523</v>
      </c>
      <c r="B21" s="18" t="str">
        <f t="shared" si="0"/>
        <v>ne</v>
      </c>
      <c r="C21" s="19" t="str">
        <f>IF(OR($A21="",$U21="Víkend"),"",IF($V21&gt;=1,"-",PREDVOLBY!$C$18))</f>
        <v/>
      </c>
      <c r="D21" s="19" t="str">
        <f>IF(OR($A21="",$U21="Víkend"),"",IF($V21&gt;=1,"-",PREDVOLBY!$C$19))</f>
        <v/>
      </c>
      <c r="E21" s="19" t="str">
        <f>IF(OR($A21="",$U21="Víkend"),"",IF($V21&gt;=0.5,"-",PREDVOLBY!$C$20))</f>
        <v/>
      </c>
      <c r="F21" s="19" t="str">
        <f>IF(OR($A21="",$U21="Víkend"),"",IF($V21&gt;=0.5,"-",PREDVOLBY!$C$21))</f>
        <v/>
      </c>
      <c r="G21" s="20" t="str">
        <f t="shared" si="1"/>
        <v/>
      </c>
      <c r="H21" s="20" t="str">
        <f>IF($G21="","",IF(ISNUMBER($G21),MAX(0,ROUND($G21-PREDVOLBY!$C$22*(1-$V21),2)),"-"))</f>
        <v/>
      </c>
      <c r="I21" s="21" t="str">
        <f>IF($G21="","",IF(AND(ISNUMBER($G21),$J21=""),IF($G21&gt;=PREDVOLBY!$C$26,PREDVOLBY!$C$25,"-"),"-"))</f>
        <v/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>Víkend</v>
      </c>
      <c r="V21">
        <f t="shared" si="3"/>
        <v>0</v>
      </c>
    </row>
    <row r="22" spans="1:22" ht="15.6" customHeight="1" x14ac:dyDescent="0.25">
      <c r="A22" s="17">
        <f>IF(MONTH(DATE(PREDVOLBY!$C$8,5,17))=5,DATE(PREDVOLBY!$C$8,5,17),"")</f>
        <v>46524</v>
      </c>
      <c r="B22" s="18" t="str">
        <f t="shared" si="0"/>
        <v>po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IF(MONTH(DATE(PREDVOLBY!$C$8,5,18))=5,DATE(PREDVOLBY!$C$8,5,18),"")</f>
        <v>46525</v>
      </c>
      <c r="B23" s="18" t="str">
        <f t="shared" si="0"/>
        <v>út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IF(MONTH(DATE(PREDVOLBY!$C$8,5,19))=5,DATE(PREDVOLBY!$C$8,5,19),"")</f>
        <v>46526</v>
      </c>
      <c r="B24" s="18" t="str">
        <f t="shared" si="0"/>
        <v>st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IF(MONTH(DATE(PREDVOLBY!$C$8,5,20))=5,DATE(PREDVOLBY!$C$8,5,20),"")</f>
        <v>46527</v>
      </c>
      <c r="B25" s="18" t="str">
        <f t="shared" si="0"/>
        <v>čt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IF(MONTH(DATE(PREDVOLBY!$C$8,5,21))=5,DATE(PREDVOLBY!$C$8,5,21),"")</f>
        <v>46528</v>
      </c>
      <c r="B26" s="18" t="str">
        <f t="shared" si="0"/>
        <v>pá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IF(MONTH(DATE(PREDVOLBY!$C$8,5,22))=5,DATE(PREDVOLBY!$C$8,5,22),"")</f>
        <v>46529</v>
      </c>
      <c r="B27" s="18" t="str">
        <f t="shared" si="0"/>
        <v>so</v>
      </c>
      <c r="C27" s="19" t="str">
        <f>IF(OR($A27="",$U27="Víkend"),"",IF($V27&gt;=1,"-",PREDVOLBY!$C$18))</f>
        <v/>
      </c>
      <c r="D27" s="19" t="str">
        <f>IF(OR($A27="",$U27="Víkend"),"",IF($V27&gt;=1,"-",PREDVOLBY!$C$19))</f>
        <v/>
      </c>
      <c r="E27" s="19" t="str">
        <f>IF(OR($A27="",$U27="Víkend"),"",IF($V27&gt;=0.5,"-",PREDVOLBY!$C$20))</f>
        <v/>
      </c>
      <c r="F27" s="19" t="str">
        <f>IF(OR($A27="",$U27="Víkend"),"",IF($V27&gt;=0.5,"-",PREDVOLBY!$C$21))</f>
        <v/>
      </c>
      <c r="G27" s="20" t="str">
        <f t="shared" si="1"/>
        <v/>
      </c>
      <c r="H27" s="20" t="str">
        <f>IF($G27="","",IF(ISNUMBER($G27),MAX(0,ROUND($G27-PREDVOLBY!$C$22*(1-$V27),2)),"-"))</f>
        <v/>
      </c>
      <c r="I27" s="21" t="str">
        <f>IF($G27="","",IF(AND(ISNUMBER($G27),$J27=""),IF($G27&gt;=PREDVOLBY!$C$26,PREDVOLBY!$C$25,"-"),"-"))</f>
        <v/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>Víkend</v>
      </c>
      <c r="V27">
        <f t="shared" si="3"/>
        <v>0</v>
      </c>
    </row>
    <row r="28" spans="1:22" ht="15.6" customHeight="1" x14ac:dyDescent="0.25">
      <c r="A28" s="17">
        <f>IF(MONTH(DATE(PREDVOLBY!$C$8,5,23))=5,DATE(PREDVOLBY!$C$8,5,23),"")</f>
        <v>46530</v>
      </c>
      <c r="B28" s="18" t="str">
        <f t="shared" si="0"/>
        <v>ne</v>
      </c>
      <c r="C28" s="19" t="str">
        <f>IF(OR($A28="",$U28="Víkend"),"",IF($V28&gt;=1,"-",PREDVOLBY!$C$18))</f>
        <v/>
      </c>
      <c r="D28" s="19" t="str">
        <f>IF(OR($A28="",$U28="Víkend"),"",IF($V28&gt;=1,"-",PREDVOLBY!$C$19))</f>
        <v/>
      </c>
      <c r="E28" s="19" t="str">
        <f>IF(OR($A28="",$U28="Víkend"),"",IF($V28&gt;=0.5,"-",PREDVOLBY!$C$20))</f>
        <v/>
      </c>
      <c r="F28" s="19" t="str">
        <f>IF(OR($A28="",$U28="Víkend"),"",IF($V28&gt;=0.5,"-",PREDVOLBY!$C$21))</f>
        <v/>
      </c>
      <c r="G28" s="20" t="str">
        <f t="shared" si="1"/>
        <v/>
      </c>
      <c r="H28" s="20" t="str">
        <f>IF($G28="","",IF(ISNUMBER($G28),MAX(0,ROUND($G28-PREDVOLBY!$C$22*(1-$V28),2)),"-"))</f>
        <v/>
      </c>
      <c r="I28" s="21" t="str">
        <f>IF($G28="","",IF(AND(ISNUMBER($G28),$J28=""),IF($G28&gt;=PREDVOLBY!$C$26,PREDVOLBY!$C$25,"-"),"-"))</f>
        <v/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>Víkend</v>
      </c>
      <c r="V28">
        <f t="shared" si="3"/>
        <v>0</v>
      </c>
    </row>
    <row r="29" spans="1:22" ht="15.6" customHeight="1" x14ac:dyDescent="0.25">
      <c r="A29" s="17">
        <f>IF(MONTH(DATE(PREDVOLBY!$C$8,5,24))=5,DATE(PREDVOLBY!$C$8,5,24),"")</f>
        <v>46531</v>
      </c>
      <c r="B29" s="18" t="str">
        <f t="shared" si="0"/>
        <v>po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IF(MONTH(DATE(PREDVOLBY!$C$8,5,25))=5,DATE(PREDVOLBY!$C$8,5,25),"")</f>
        <v>46532</v>
      </c>
      <c r="B30" s="18" t="str">
        <f t="shared" si="0"/>
        <v>út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IF(MONTH(DATE(PREDVOLBY!$C$8,5,26))=5,DATE(PREDVOLBY!$C$8,5,26),"")</f>
        <v>46533</v>
      </c>
      <c r="B31" s="18" t="str">
        <f t="shared" si="0"/>
        <v>st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IF(MONTH(DATE(PREDVOLBY!$C$8,5,27))=5,DATE(PREDVOLBY!$C$8,5,27),"")</f>
        <v>46534</v>
      </c>
      <c r="B32" s="18" t="str">
        <f t="shared" si="0"/>
        <v>čt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IF(MONTH(DATE(PREDVOLBY!$C$8,5,28))=5,DATE(PREDVOLBY!$C$8,5,28),"")</f>
        <v>46535</v>
      </c>
      <c r="B33" s="18" t="str">
        <f t="shared" si="0"/>
        <v>pá</v>
      </c>
      <c r="C33" s="19">
        <f>IF(OR($A33="",$U33="Víkend"),"",IF($V33&gt;=1,"-",PREDVOLBY!$C$18))</f>
        <v>0.3125</v>
      </c>
      <c r="D33" s="19">
        <f>IF(OR($A33="",$U33="Víkend"),"",IF($V33&gt;=1,"-",PREDVOLBY!$C$19))</f>
        <v>0.47916666666666669</v>
      </c>
      <c r="E33" s="19">
        <f>IF(OR($A33="",$U33="Víkend"),"",IF($V33&gt;=0.5,"-",PREDVOLBY!$C$20))</f>
        <v>0.5</v>
      </c>
      <c r="F33" s="19">
        <f>IF(OR($A33="",$U33="Víkend"),"",IF($V33&gt;=0.5,"-",PREDVOLBY!$C$21))</f>
        <v>0.66666666666666663</v>
      </c>
      <c r="G33" s="20">
        <f t="shared" si="1"/>
        <v>8</v>
      </c>
      <c r="H33" s="20">
        <f>IF($G33="","",IF(ISNUMBER($G33),MAX(0,ROUND($G33-PREDVOLBY!$C$22*(1-$V33),2)),"-"))</f>
        <v>0</v>
      </c>
      <c r="I33" s="21">
        <f>IF($G33="","",IF(AND(ISNUMBER($G33),$J33=""),IF($G33&gt;=PREDVOLBY!$C$26,PREDVOLBY!$C$25,"-"),"-"))</f>
        <v>129.5</v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/>
      </c>
      <c r="V33">
        <f t="shared" si="3"/>
        <v>0</v>
      </c>
    </row>
    <row r="34" spans="1:22" ht="15.6" customHeight="1" x14ac:dyDescent="0.25">
      <c r="A34" s="17">
        <f>IF(MONTH(DATE(PREDVOLBY!$C$8,5,29))=5,DATE(PREDVOLBY!$C$8,5,29),"")</f>
        <v>46536</v>
      </c>
      <c r="B34" s="18" t="str">
        <f t="shared" si="0"/>
        <v>so</v>
      </c>
      <c r="C34" s="19" t="str">
        <f>IF(OR($A34="",$U34="Víkend"),"",IF($V34&gt;=1,"-",PREDVOLBY!$C$18))</f>
        <v/>
      </c>
      <c r="D34" s="19" t="str">
        <f>IF(OR($A34="",$U34="Víkend"),"",IF($V34&gt;=1,"-",PREDVOLBY!$C$19))</f>
        <v/>
      </c>
      <c r="E34" s="19" t="str">
        <f>IF(OR($A34="",$U34="Víkend"),"",IF($V34&gt;=0.5,"-",PREDVOLBY!$C$20))</f>
        <v/>
      </c>
      <c r="F34" s="19" t="str">
        <f>IF(OR($A34="",$U34="Víkend"),"",IF($V34&gt;=0.5,"-",PREDVOLBY!$C$21))</f>
        <v/>
      </c>
      <c r="G34" s="20" t="str">
        <f t="shared" si="1"/>
        <v/>
      </c>
      <c r="H34" s="20" t="str">
        <f>IF($G34="","",IF(ISNUMBER($G34),MAX(0,ROUND($G34-PREDVOLBY!$C$22*(1-$V34),2)),"-"))</f>
        <v/>
      </c>
      <c r="I34" s="21" t="str">
        <f>IF($G34="","",IF(AND(ISNUMBER($G34),$J34=""),IF($G34&gt;=PREDVOLBY!$C$26,PREDVOLBY!$C$25,"-"),"-"))</f>
        <v/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>Víkend</v>
      </c>
      <c r="V34">
        <f t="shared" si="3"/>
        <v>0</v>
      </c>
    </row>
    <row r="35" spans="1:22" ht="15.6" customHeight="1" x14ac:dyDescent="0.25">
      <c r="A35" s="17">
        <f>IF(MONTH(DATE(PREDVOLBY!$C$8,5,30))=5,DATE(PREDVOLBY!$C$8,5,30),"")</f>
        <v>46537</v>
      </c>
      <c r="B35" s="18" t="str">
        <f t="shared" si="0"/>
        <v>ne</v>
      </c>
      <c r="C35" s="19" t="str">
        <f>IF(OR($A35="",$U35="Víkend"),"",IF($V35&gt;=1,"-",PREDVOLBY!$C$18))</f>
        <v/>
      </c>
      <c r="D35" s="19" t="str">
        <f>IF(OR($A35="",$U35="Víkend"),"",IF($V35&gt;=1,"-",PREDVOLBY!$C$19))</f>
        <v/>
      </c>
      <c r="E35" s="19" t="str">
        <f>IF(OR($A35="",$U35="Víkend"),"",IF($V35&gt;=0.5,"-",PREDVOLBY!$C$20))</f>
        <v/>
      </c>
      <c r="F35" s="19" t="str">
        <f>IF(OR($A35="",$U35="Víkend"),"",IF($V35&gt;=0.5,"-",PREDVOLBY!$C$21))</f>
        <v/>
      </c>
      <c r="G35" s="20" t="str">
        <f t="shared" si="1"/>
        <v/>
      </c>
      <c r="H35" s="20" t="str">
        <f>IF($G35="","",IF(ISNUMBER($G35),MAX(0,ROUND($G35-PREDVOLBY!$C$22*(1-$V35),2)),"-"))</f>
        <v/>
      </c>
      <c r="I35" s="21" t="str">
        <f>IF($G35="","",IF(AND(ISNUMBER($G35),$J35=""),IF($G35&gt;=PREDVOLBY!$C$26,PREDVOLBY!$C$25,"-"),"-"))</f>
        <v/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>Víkend</v>
      </c>
      <c r="V35">
        <f t="shared" si="3"/>
        <v>0</v>
      </c>
    </row>
    <row r="36" spans="1:22" ht="15.6" customHeight="1" x14ac:dyDescent="0.25">
      <c r="A36" s="17">
        <f>IF(MONTH(DATE(PREDVOLBY!$C$8,5,31))=5,DATE(PREDVOLBY!$C$8,5,31),"")</f>
        <v>46538</v>
      </c>
      <c r="B36" s="18" t="str">
        <f t="shared" si="0"/>
        <v>po</v>
      </c>
      <c r="C36" s="19">
        <f>IF(OR($A36="",$U36="Víkend"),"",IF($V36&gt;=1,"-",PREDVOLBY!$C$18))</f>
        <v>0.3125</v>
      </c>
      <c r="D36" s="19">
        <f>IF(OR($A36="",$U36="Víkend"),"",IF($V36&gt;=1,"-",PREDVOLBY!$C$19))</f>
        <v>0.47916666666666669</v>
      </c>
      <c r="E36" s="19">
        <f>IF(OR($A36="",$U36="Víkend"),"",IF($V36&gt;=0.5,"-",PREDVOLBY!$C$20))</f>
        <v>0.5</v>
      </c>
      <c r="F36" s="19">
        <f>IF(OR($A36="",$U36="Víkend"),"",IF($V36&gt;=0.5,"-",PREDVOLBY!$C$21))</f>
        <v>0.66666666666666663</v>
      </c>
      <c r="G36" s="20">
        <f t="shared" si="1"/>
        <v>8</v>
      </c>
      <c r="H36" s="20">
        <f>IF($G36="","",IF(ISNUMBER($G36),MAX(0,ROUND($G36-PREDVOLBY!$C$22*(1-$V36),2)),"-"))</f>
        <v>0</v>
      </c>
      <c r="I36" s="21">
        <f>IF($G36="","",IF(AND(ISNUMBER($G36),$J36=""),IF($G36&gt;=PREDVOLBY!$C$26,PREDVOLBY!$C$25,"-"),"-"))</f>
        <v>129.5</v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168</v>
      </c>
      <c r="H37" s="25">
        <f>SUM(H6:H36)</f>
        <v>0</v>
      </c>
      <c r="I37" s="26">
        <f>SUM(I6:I36)</f>
        <v>2719.5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0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21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"&amp;SUM('01_2027'!$K$37,'02_2027'!$K$37,'03_2027'!$K$37,'04_2027'!$K$37,'05_2027'!$K$37)&amp;" / "&amp;PREDVOLBY!$C$13&amp;" dní (zbývá "&amp;(PREDVOLBY!$C$13-SUM('01_2027'!$K$37,'02_2027'!$K$37,'03_2027'!$K$37,'04_2027'!$K$37,'05_2027'!$K$37))&amp;")"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31" priority="1">
      <formula>$U6="Víkend"</formula>
    </cfRule>
    <cfRule type="expression" dxfId="30" priority="2">
      <formula>$U6="Svátek"</formula>
    </cfRule>
  </conditionalFormatting>
  <conditionalFormatting sqref="I3:S3">
    <cfRule type="expression" dxfId="29" priority="4">
      <formula>$I$3="DOPLŇTE ÚDAJE V KARTĚ PŘEDVOLBY"</formula>
    </cfRule>
  </conditionalFormatting>
  <conditionalFormatting sqref="K6:R36">
    <cfRule type="expression" dxfId="28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6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Květen 2027&amp;R&amp;"Arial,Regular"&amp;8Strana &amp;P z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9D7C"/>
    <pageSetUpPr fitToPage="1"/>
  </sheetPr>
  <dimension ref="A1:V51"/>
  <sheetViews>
    <sheetView showGridLines="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90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46539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IF(MONTH(DATE(PREDVOLBY!$C$8,6,1))=6,DATE(PREDVOLBY!$C$8,6,1),"")</f>
        <v>46539</v>
      </c>
      <c r="B6" s="18" t="str">
        <f t="shared" ref="B6:B36" si="0">IF($A6="","",CHOOSE(WEEKDAY($A6,2),"po","út","st","čt","pá","so","ne"))</f>
        <v>út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IF(MONTH(DATE(PREDVOLBY!$C$8,6,2))=6,DATE(PREDVOLBY!$C$8,6,2),"")</f>
        <v>46540</v>
      </c>
      <c r="B7" s="18" t="str">
        <f t="shared" si="0"/>
        <v>st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IF(MONTH(DATE(PREDVOLBY!$C$8,6,3))=6,DATE(PREDVOLBY!$C$8,6,3),"")</f>
        <v>46541</v>
      </c>
      <c r="B8" s="18" t="str">
        <f t="shared" si="0"/>
        <v>čt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IF(MONTH(DATE(PREDVOLBY!$C$8,6,4))=6,DATE(PREDVOLBY!$C$8,6,4),"")</f>
        <v>46542</v>
      </c>
      <c r="B9" s="18" t="str">
        <f t="shared" si="0"/>
        <v>pá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IF(MONTH(DATE(PREDVOLBY!$C$8,6,5))=6,DATE(PREDVOLBY!$C$8,6,5),"")</f>
        <v>46543</v>
      </c>
      <c r="B10" s="18" t="str">
        <f t="shared" si="0"/>
        <v>so</v>
      </c>
      <c r="C10" s="19" t="str">
        <f>IF(OR($A10="",$U10="Víkend"),"",IF($V10&gt;=1,"-",PREDVOLBY!$C$18))</f>
        <v/>
      </c>
      <c r="D10" s="19" t="str">
        <f>IF(OR($A10="",$U10="Víkend"),"",IF($V10&gt;=1,"-",PREDVOLBY!$C$19))</f>
        <v/>
      </c>
      <c r="E10" s="19" t="str">
        <f>IF(OR($A10="",$U10="Víkend"),"",IF($V10&gt;=0.5,"-",PREDVOLBY!$C$20))</f>
        <v/>
      </c>
      <c r="F10" s="19" t="str">
        <f>IF(OR($A10="",$U10="Víkend"),"",IF($V10&gt;=0.5,"-",PREDVOLBY!$C$21))</f>
        <v/>
      </c>
      <c r="G10" s="20" t="str">
        <f t="shared" si="1"/>
        <v/>
      </c>
      <c r="H10" s="20" t="str">
        <f>IF($G10="","",IF(ISNUMBER($G10),MAX(0,ROUND($G10-PREDVOLBY!$C$22*(1-$V10),2)),"-"))</f>
        <v/>
      </c>
      <c r="I10" s="21" t="str">
        <f>IF($G10="","",IF(AND(ISNUMBER($G10),$J10=""),IF($G10&gt;=PREDVOLBY!$C$26,PREDVOLBY!$C$25,"-"),"-"))</f>
        <v/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>Víkend</v>
      </c>
      <c r="V10">
        <f t="shared" si="3"/>
        <v>0</v>
      </c>
    </row>
    <row r="11" spans="1:22" ht="15.6" customHeight="1" x14ac:dyDescent="0.25">
      <c r="A11" s="17">
        <f>IF(MONTH(DATE(PREDVOLBY!$C$8,6,6))=6,DATE(PREDVOLBY!$C$8,6,6),"")</f>
        <v>46544</v>
      </c>
      <c r="B11" s="18" t="str">
        <f t="shared" si="0"/>
        <v>ne</v>
      </c>
      <c r="C11" s="19" t="str">
        <f>IF(OR($A11="",$U11="Víkend"),"",IF($V11&gt;=1,"-",PREDVOLBY!$C$18))</f>
        <v/>
      </c>
      <c r="D11" s="19" t="str">
        <f>IF(OR($A11="",$U11="Víkend"),"",IF($V11&gt;=1,"-",PREDVOLBY!$C$19))</f>
        <v/>
      </c>
      <c r="E11" s="19" t="str">
        <f>IF(OR($A11="",$U11="Víkend"),"",IF($V11&gt;=0.5,"-",PREDVOLBY!$C$20))</f>
        <v/>
      </c>
      <c r="F11" s="19" t="str">
        <f>IF(OR($A11="",$U11="Víkend"),"",IF($V11&gt;=0.5,"-",PREDVOLBY!$C$21))</f>
        <v/>
      </c>
      <c r="G11" s="20" t="str">
        <f t="shared" si="1"/>
        <v/>
      </c>
      <c r="H11" s="20" t="str">
        <f>IF($G11="","",IF(ISNUMBER($G11),MAX(0,ROUND($G11-PREDVOLBY!$C$22*(1-$V11),2)),"-"))</f>
        <v/>
      </c>
      <c r="I11" s="21" t="str">
        <f>IF($G11="","",IF(AND(ISNUMBER($G11),$J11=""),IF($G11&gt;=PREDVOLBY!$C$26,PREDVOLBY!$C$25,"-"),"-"))</f>
        <v/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>Víkend</v>
      </c>
      <c r="V11">
        <f t="shared" si="3"/>
        <v>0</v>
      </c>
    </row>
    <row r="12" spans="1:22" ht="15.6" customHeight="1" x14ac:dyDescent="0.25">
      <c r="A12" s="17">
        <f>IF(MONTH(DATE(PREDVOLBY!$C$8,6,7))=6,DATE(PREDVOLBY!$C$8,6,7),"")</f>
        <v>46545</v>
      </c>
      <c r="B12" s="18" t="str">
        <f t="shared" si="0"/>
        <v>po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IF(MONTH(DATE(PREDVOLBY!$C$8,6,8))=6,DATE(PREDVOLBY!$C$8,6,8),"")</f>
        <v>46546</v>
      </c>
      <c r="B13" s="18" t="str">
        <f t="shared" si="0"/>
        <v>út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IF(MONTH(DATE(PREDVOLBY!$C$8,6,9))=6,DATE(PREDVOLBY!$C$8,6,9),"")</f>
        <v>46547</v>
      </c>
      <c r="B14" s="18" t="str">
        <f t="shared" si="0"/>
        <v>st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IF(MONTH(DATE(PREDVOLBY!$C$8,6,10))=6,DATE(PREDVOLBY!$C$8,6,10),"")</f>
        <v>46548</v>
      </c>
      <c r="B15" s="18" t="str">
        <f t="shared" si="0"/>
        <v>čt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IF(MONTH(DATE(PREDVOLBY!$C$8,6,11))=6,DATE(PREDVOLBY!$C$8,6,11),"")</f>
        <v>46549</v>
      </c>
      <c r="B16" s="18" t="str">
        <f t="shared" si="0"/>
        <v>pá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IF(MONTH(DATE(PREDVOLBY!$C$8,6,12))=6,DATE(PREDVOLBY!$C$8,6,12),"")</f>
        <v>46550</v>
      </c>
      <c r="B17" s="18" t="str">
        <f t="shared" si="0"/>
        <v>so</v>
      </c>
      <c r="C17" s="19" t="str">
        <f>IF(OR($A17="",$U17="Víkend"),"",IF($V17&gt;=1,"-",PREDVOLBY!$C$18))</f>
        <v/>
      </c>
      <c r="D17" s="19" t="str">
        <f>IF(OR($A17="",$U17="Víkend"),"",IF($V17&gt;=1,"-",PREDVOLBY!$C$19))</f>
        <v/>
      </c>
      <c r="E17" s="19" t="str">
        <f>IF(OR($A17="",$U17="Víkend"),"",IF($V17&gt;=0.5,"-",PREDVOLBY!$C$20))</f>
        <v/>
      </c>
      <c r="F17" s="19" t="str">
        <f>IF(OR($A17="",$U17="Víkend"),"",IF($V17&gt;=0.5,"-",PREDVOLBY!$C$21))</f>
        <v/>
      </c>
      <c r="G17" s="20" t="str">
        <f t="shared" si="1"/>
        <v/>
      </c>
      <c r="H17" s="20" t="str">
        <f>IF($G17="","",IF(ISNUMBER($G17),MAX(0,ROUND($G17-PREDVOLBY!$C$22*(1-$V17),2)),"-"))</f>
        <v/>
      </c>
      <c r="I17" s="21" t="str">
        <f>IF($G17="","",IF(AND(ISNUMBER($G17),$J17=""),IF($G17&gt;=PREDVOLBY!$C$26,PREDVOLBY!$C$25,"-"),"-"))</f>
        <v/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>Víkend</v>
      </c>
      <c r="V17">
        <f t="shared" si="3"/>
        <v>0</v>
      </c>
    </row>
    <row r="18" spans="1:22" ht="15.6" customHeight="1" x14ac:dyDescent="0.25">
      <c r="A18" s="17">
        <f>IF(MONTH(DATE(PREDVOLBY!$C$8,6,13))=6,DATE(PREDVOLBY!$C$8,6,13),"")</f>
        <v>46551</v>
      </c>
      <c r="B18" s="18" t="str">
        <f t="shared" si="0"/>
        <v>ne</v>
      </c>
      <c r="C18" s="19" t="str">
        <f>IF(OR($A18="",$U18="Víkend"),"",IF($V18&gt;=1,"-",PREDVOLBY!$C$18))</f>
        <v/>
      </c>
      <c r="D18" s="19" t="str">
        <f>IF(OR($A18="",$U18="Víkend"),"",IF($V18&gt;=1,"-",PREDVOLBY!$C$19))</f>
        <v/>
      </c>
      <c r="E18" s="19" t="str">
        <f>IF(OR($A18="",$U18="Víkend"),"",IF($V18&gt;=0.5,"-",PREDVOLBY!$C$20))</f>
        <v/>
      </c>
      <c r="F18" s="19" t="str">
        <f>IF(OR($A18="",$U18="Víkend"),"",IF($V18&gt;=0.5,"-",PREDVOLBY!$C$21))</f>
        <v/>
      </c>
      <c r="G18" s="20" t="str">
        <f t="shared" si="1"/>
        <v/>
      </c>
      <c r="H18" s="20" t="str">
        <f>IF($G18="","",IF(ISNUMBER($G18),MAX(0,ROUND($G18-PREDVOLBY!$C$22*(1-$V18),2)),"-"))</f>
        <v/>
      </c>
      <c r="I18" s="21" t="str">
        <f>IF($G18="","",IF(AND(ISNUMBER($G18),$J18=""),IF($G18&gt;=PREDVOLBY!$C$26,PREDVOLBY!$C$25,"-"),"-"))</f>
        <v/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>Víkend</v>
      </c>
      <c r="V18">
        <f t="shared" si="3"/>
        <v>0</v>
      </c>
    </row>
    <row r="19" spans="1:22" ht="15.6" customHeight="1" x14ac:dyDescent="0.25">
      <c r="A19" s="17">
        <f>IF(MONTH(DATE(PREDVOLBY!$C$8,6,14))=6,DATE(PREDVOLBY!$C$8,6,14),"")</f>
        <v>46552</v>
      </c>
      <c r="B19" s="18" t="str">
        <f t="shared" si="0"/>
        <v>po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IF(MONTH(DATE(PREDVOLBY!$C$8,6,15))=6,DATE(PREDVOLBY!$C$8,6,15),"")</f>
        <v>46553</v>
      </c>
      <c r="B20" s="18" t="str">
        <f t="shared" si="0"/>
        <v>út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IF(MONTH(DATE(PREDVOLBY!$C$8,6,16))=6,DATE(PREDVOLBY!$C$8,6,16),"")</f>
        <v>46554</v>
      </c>
      <c r="B21" s="18" t="str">
        <f t="shared" si="0"/>
        <v>st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IF(MONTH(DATE(PREDVOLBY!$C$8,6,17))=6,DATE(PREDVOLBY!$C$8,6,17),"")</f>
        <v>46555</v>
      </c>
      <c r="B22" s="18" t="str">
        <f t="shared" si="0"/>
        <v>čt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IF(MONTH(DATE(PREDVOLBY!$C$8,6,18))=6,DATE(PREDVOLBY!$C$8,6,18),"")</f>
        <v>46556</v>
      </c>
      <c r="B23" s="18" t="str">
        <f t="shared" si="0"/>
        <v>pá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IF(MONTH(DATE(PREDVOLBY!$C$8,6,19))=6,DATE(PREDVOLBY!$C$8,6,19),"")</f>
        <v>46557</v>
      </c>
      <c r="B24" s="18" t="str">
        <f t="shared" si="0"/>
        <v>so</v>
      </c>
      <c r="C24" s="19" t="str">
        <f>IF(OR($A24="",$U24="Víkend"),"",IF($V24&gt;=1,"-",PREDVOLBY!$C$18))</f>
        <v/>
      </c>
      <c r="D24" s="19" t="str">
        <f>IF(OR($A24="",$U24="Víkend"),"",IF($V24&gt;=1,"-",PREDVOLBY!$C$19))</f>
        <v/>
      </c>
      <c r="E24" s="19" t="str">
        <f>IF(OR($A24="",$U24="Víkend"),"",IF($V24&gt;=0.5,"-",PREDVOLBY!$C$20))</f>
        <v/>
      </c>
      <c r="F24" s="19" t="str">
        <f>IF(OR($A24="",$U24="Víkend"),"",IF($V24&gt;=0.5,"-",PREDVOLBY!$C$21))</f>
        <v/>
      </c>
      <c r="G24" s="20" t="str">
        <f t="shared" si="1"/>
        <v/>
      </c>
      <c r="H24" s="20" t="str">
        <f>IF($G24="","",IF(ISNUMBER($G24),MAX(0,ROUND($G24-PREDVOLBY!$C$22*(1-$V24),2)),"-"))</f>
        <v/>
      </c>
      <c r="I24" s="21" t="str">
        <f>IF($G24="","",IF(AND(ISNUMBER($G24),$J24=""),IF($G24&gt;=PREDVOLBY!$C$26,PREDVOLBY!$C$25,"-"),"-"))</f>
        <v/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>Víkend</v>
      </c>
      <c r="V24">
        <f t="shared" si="3"/>
        <v>0</v>
      </c>
    </row>
    <row r="25" spans="1:22" ht="15.6" customHeight="1" x14ac:dyDescent="0.25">
      <c r="A25" s="17">
        <f>IF(MONTH(DATE(PREDVOLBY!$C$8,6,20))=6,DATE(PREDVOLBY!$C$8,6,20),"")</f>
        <v>46558</v>
      </c>
      <c r="B25" s="18" t="str">
        <f t="shared" si="0"/>
        <v>ne</v>
      </c>
      <c r="C25" s="19" t="str">
        <f>IF(OR($A25="",$U25="Víkend"),"",IF($V25&gt;=1,"-",PREDVOLBY!$C$18))</f>
        <v/>
      </c>
      <c r="D25" s="19" t="str">
        <f>IF(OR($A25="",$U25="Víkend"),"",IF($V25&gt;=1,"-",PREDVOLBY!$C$19))</f>
        <v/>
      </c>
      <c r="E25" s="19" t="str">
        <f>IF(OR($A25="",$U25="Víkend"),"",IF($V25&gt;=0.5,"-",PREDVOLBY!$C$20))</f>
        <v/>
      </c>
      <c r="F25" s="19" t="str">
        <f>IF(OR($A25="",$U25="Víkend"),"",IF($V25&gt;=0.5,"-",PREDVOLBY!$C$21))</f>
        <v/>
      </c>
      <c r="G25" s="20" t="str">
        <f t="shared" si="1"/>
        <v/>
      </c>
      <c r="H25" s="20" t="str">
        <f>IF($G25="","",IF(ISNUMBER($G25),MAX(0,ROUND($G25-PREDVOLBY!$C$22*(1-$V25),2)),"-"))</f>
        <v/>
      </c>
      <c r="I25" s="21" t="str">
        <f>IF($G25="","",IF(AND(ISNUMBER($G25),$J25=""),IF($G25&gt;=PREDVOLBY!$C$26,PREDVOLBY!$C$25,"-"),"-"))</f>
        <v/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>Víkend</v>
      </c>
      <c r="V25">
        <f t="shared" si="3"/>
        <v>0</v>
      </c>
    </row>
    <row r="26" spans="1:22" ht="15.6" customHeight="1" x14ac:dyDescent="0.25">
      <c r="A26" s="17">
        <f>IF(MONTH(DATE(PREDVOLBY!$C$8,6,21))=6,DATE(PREDVOLBY!$C$8,6,21),"")</f>
        <v>46559</v>
      </c>
      <c r="B26" s="18" t="str">
        <f t="shared" si="0"/>
        <v>po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IF(MONTH(DATE(PREDVOLBY!$C$8,6,22))=6,DATE(PREDVOLBY!$C$8,6,22),"")</f>
        <v>46560</v>
      </c>
      <c r="B27" s="18" t="str">
        <f t="shared" si="0"/>
        <v>út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IF(MONTH(DATE(PREDVOLBY!$C$8,6,23))=6,DATE(PREDVOLBY!$C$8,6,23),"")</f>
        <v>46561</v>
      </c>
      <c r="B28" s="18" t="str">
        <f t="shared" si="0"/>
        <v>st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IF(MONTH(DATE(PREDVOLBY!$C$8,6,24))=6,DATE(PREDVOLBY!$C$8,6,24),"")</f>
        <v>46562</v>
      </c>
      <c r="B29" s="18" t="str">
        <f t="shared" si="0"/>
        <v>čt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IF(MONTH(DATE(PREDVOLBY!$C$8,6,25))=6,DATE(PREDVOLBY!$C$8,6,25),"")</f>
        <v>46563</v>
      </c>
      <c r="B30" s="18" t="str">
        <f t="shared" si="0"/>
        <v>pá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IF(MONTH(DATE(PREDVOLBY!$C$8,6,26))=6,DATE(PREDVOLBY!$C$8,6,26),"")</f>
        <v>46564</v>
      </c>
      <c r="B31" s="18" t="str">
        <f t="shared" si="0"/>
        <v>so</v>
      </c>
      <c r="C31" s="19" t="str">
        <f>IF(OR($A31="",$U31="Víkend"),"",IF($V31&gt;=1,"-",PREDVOLBY!$C$18))</f>
        <v/>
      </c>
      <c r="D31" s="19" t="str">
        <f>IF(OR($A31="",$U31="Víkend"),"",IF($V31&gt;=1,"-",PREDVOLBY!$C$19))</f>
        <v/>
      </c>
      <c r="E31" s="19" t="str">
        <f>IF(OR($A31="",$U31="Víkend"),"",IF($V31&gt;=0.5,"-",PREDVOLBY!$C$20))</f>
        <v/>
      </c>
      <c r="F31" s="19" t="str">
        <f>IF(OR($A31="",$U31="Víkend"),"",IF($V31&gt;=0.5,"-",PREDVOLBY!$C$21))</f>
        <v/>
      </c>
      <c r="G31" s="20" t="str">
        <f t="shared" si="1"/>
        <v/>
      </c>
      <c r="H31" s="20" t="str">
        <f>IF($G31="","",IF(ISNUMBER($G31),MAX(0,ROUND($G31-PREDVOLBY!$C$22*(1-$V31),2)),"-"))</f>
        <v/>
      </c>
      <c r="I31" s="21" t="str">
        <f>IF($G31="","",IF(AND(ISNUMBER($G31),$J31=""),IF($G31&gt;=PREDVOLBY!$C$26,PREDVOLBY!$C$25,"-"),"-"))</f>
        <v/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>Víkend</v>
      </c>
      <c r="V31">
        <f t="shared" si="3"/>
        <v>0</v>
      </c>
    </row>
    <row r="32" spans="1:22" ht="15.6" customHeight="1" x14ac:dyDescent="0.25">
      <c r="A32" s="17">
        <f>IF(MONTH(DATE(PREDVOLBY!$C$8,6,27))=6,DATE(PREDVOLBY!$C$8,6,27),"")</f>
        <v>46565</v>
      </c>
      <c r="B32" s="18" t="str">
        <f t="shared" si="0"/>
        <v>ne</v>
      </c>
      <c r="C32" s="19" t="str">
        <f>IF(OR($A32="",$U32="Víkend"),"",IF($V32&gt;=1,"-",PREDVOLBY!$C$18))</f>
        <v/>
      </c>
      <c r="D32" s="19" t="str">
        <f>IF(OR($A32="",$U32="Víkend"),"",IF($V32&gt;=1,"-",PREDVOLBY!$C$19))</f>
        <v/>
      </c>
      <c r="E32" s="19" t="str">
        <f>IF(OR($A32="",$U32="Víkend"),"",IF($V32&gt;=0.5,"-",PREDVOLBY!$C$20))</f>
        <v/>
      </c>
      <c r="F32" s="19" t="str">
        <f>IF(OR($A32="",$U32="Víkend"),"",IF($V32&gt;=0.5,"-",PREDVOLBY!$C$21))</f>
        <v/>
      </c>
      <c r="G32" s="20" t="str">
        <f t="shared" si="1"/>
        <v/>
      </c>
      <c r="H32" s="20" t="str">
        <f>IF($G32="","",IF(ISNUMBER($G32),MAX(0,ROUND($G32-PREDVOLBY!$C$22*(1-$V32),2)),"-"))</f>
        <v/>
      </c>
      <c r="I32" s="21" t="str">
        <f>IF($G32="","",IF(AND(ISNUMBER($G32),$J32=""),IF($G32&gt;=PREDVOLBY!$C$26,PREDVOLBY!$C$25,"-"),"-"))</f>
        <v/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>Víkend</v>
      </c>
      <c r="V32">
        <f t="shared" si="3"/>
        <v>0</v>
      </c>
    </row>
    <row r="33" spans="1:22" ht="15.6" customHeight="1" x14ac:dyDescent="0.25">
      <c r="A33" s="17">
        <f>IF(MONTH(DATE(PREDVOLBY!$C$8,6,28))=6,DATE(PREDVOLBY!$C$8,6,28),"")</f>
        <v>46566</v>
      </c>
      <c r="B33" s="18" t="str">
        <f t="shared" si="0"/>
        <v>po</v>
      </c>
      <c r="C33" s="19">
        <f>IF(OR($A33="",$U33="Víkend"),"",IF($V33&gt;=1,"-",PREDVOLBY!$C$18))</f>
        <v>0.3125</v>
      </c>
      <c r="D33" s="19">
        <f>IF(OR($A33="",$U33="Víkend"),"",IF($V33&gt;=1,"-",PREDVOLBY!$C$19))</f>
        <v>0.47916666666666669</v>
      </c>
      <c r="E33" s="19">
        <f>IF(OR($A33="",$U33="Víkend"),"",IF($V33&gt;=0.5,"-",PREDVOLBY!$C$20))</f>
        <v>0.5</v>
      </c>
      <c r="F33" s="19">
        <f>IF(OR($A33="",$U33="Víkend"),"",IF($V33&gt;=0.5,"-",PREDVOLBY!$C$21))</f>
        <v>0.66666666666666663</v>
      </c>
      <c r="G33" s="20">
        <f t="shared" si="1"/>
        <v>8</v>
      </c>
      <c r="H33" s="20">
        <f>IF($G33="","",IF(ISNUMBER($G33),MAX(0,ROUND($G33-PREDVOLBY!$C$22*(1-$V33),2)),"-"))</f>
        <v>0</v>
      </c>
      <c r="I33" s="21">
        <f>IF($G33="","",IF(AND(ISNUMBER($G33),$J33=""),IF($G33&gt;=PREDVOLBY!$C$26,PREDVOLBY!$C$25,"-"),"-"))</f>
        <v>129.5</v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/>
      </c>
      <c r="V33">
        <f t="shared" si="3"/>
        <v>0</v>
      </c>
    </row>
    <row r="34" spans="1:22" ht="15.6" customHeight="1" x14ac:dyDescent="0.25">
      <c r="A34" s="17">
        <f>IF(MONTH(DATE(PREDVOLBY!$C$8,6,29))=6,DATE(PREDVOLBY!$C$8,6,29),"")</f>
        <v>46567</v>
      </c>
      <c r="B34" s="18" t="str">
        <f t="shared" si="0"/>
        <v>út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IF(MONTH(DATE(PREDVOLBY!$C$8,6,30))=6,DATE(PREDVOLBY!$C$8,6,30),"")</f>
        <v>46568</v>
      </c>
      <c r="B35" s="18" t="str">
        <f t="shared" si="0"/>
        <v>st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 t="str">
        <f>IF(MONTH(DATE(PREDVOLBY!$C$8,6,31))=6,DATE(PREDVOLBY!$C$8,6,31),"")</f>
        <v/>
      </c>
      <c r="B36" s="18" t="str">
        <f t="shared" si="0"/>
        <v/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176</v>
      </c>
      <c r="H37" s="25">
        <f>SUM(H6:H36)</f>
        <v>0</v>
      </c>
      <c r="I37" s="26">
        <f>SUM(I6:I36)</f>
        <v>2849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0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22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"&amp;SUM('01_2027'!$K$37,'02_2027'!$K$37,'03_2027'!$K$37,'04_2027'!$K$37,'05_2027'!$K$37,'06_2027'!$K$37)&amp;" / "&amp;PREDVOLBY!$C$13&amp;" dní (zbývá "&amp;(PREDVOLBY!$C$13-SUM('01_2027'!$K$37,'02_2027'!$K$37,'03_2027'!$K$37,'04_2027'!$K$37,'05_2027'!$K$37,'06_2027'!$K$37))&amp;")"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27" priority="1">
      <formula>$U6="Víkend"</formula>
    </cfRule>
    <cfRule type="expression" dxfId="26" priority="2">
      <formula>$U6="Svátek"</formula>
    </cfRule>
  </conditionalFormatting>
  <conditionalFormatting sqref="I3:S3">
    <cfRule type="expression" dxfId="25" priority="4">
      <formula>$I$3="DOPLŇTE ÚDAJE V KARTĚ PŘEDVOLBY"</formula>
    </cfRule>
  </conditionalFormatting>
  <conditionalFormatting sqref="K6:R36">
    <cfRule type="expression" dxfId="24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7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Červen 2027&amp;R&amp;"Arial,Regular"&amp;8Strana &amp;P z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5041"/>
    <pageSetUpPr fitToPage="1"/>
  </sheetPr>
  <dimension ref="A1:V5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91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46569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IF(MONTH(DATE(PREDVOLBY!$C$8,7,1))=7,DATE(PREDVOLBY!$C$8,7,1),"")</f>
        <v>46569</v>
      </c>
      <c r="B6" s="18" t="str">
        <f t="shared" ref="B6:B36" si="0">IF($A6="","",CHOOSE(WEEKDAY($A6,2),"po","út","st","čt","pá","so","ne"))</f>
        <v>čt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IF(MONTH(DATE(PREDVOLBY!$C$8,7,2))=7,DATE(PREDVOLBY!$C$8,7,2),"")</f>
        <v>46570</v>
      </c>
      <c r="B7" s="18" t="str">
        <f t="shared" si="0"/>
        <v>pá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IF(MONTH(DATE(PREDVOLBY!$C$8,7,3))=7,DATE(PREDVOLBY!$C$8,7,3),"")</f>
        <v>46571</v>
      </c>
      <c r="B8" s="18" t="str">
        <f t="shared" si="0"/>
        <v>so</v>
      </c>
      <c r="C8" s="19" t="str">
        <f>IF(OR($A8="",$U8="Víkend"),"",IF($V8&gt;=1,"-",PREDVOLBY!$C$18))</f>
        <v/>
      </c>
      <c r="D8" s="19" t="str">
        <f>IF(OR($A8="",$U8="Víkend"),"",IF($V8&gt;=1,"-",PREDVOLBY!$C$19))</f>
        <v/>
      </c>
      <c r="E8" s="19" t="str">
        <f>IF(OR($A8="",$U8="Víkend"),"",IF($V8&gt;=0.5,"-",PREDVOLBY!$C$20))</f>
        <v/>
      </c>
      <c r="F8" s="19" t="str">
        <f>IF(OR($A8="",$U8="Víkend"),"",IF($V8&gt;=0.5,"-",PREDVOLBY!$C$21))</f>
        <v/>
      </c>
      <c r="G8" s="20" t="str">
        <f t="shared" si="1"/>
        <v/>
      </c>
      <c r="H8" s="20" t="str">
        <f>IF($G8="","",IF(ISNUMBER($G8),MAX(0,ROUND($G8-PREDVOLBY!$C$22*(1-$V8),2)),"-"))</f>
        <v/>
      </c>
      <c r="I8" s="21" t="str">
        <f>IF($G8="","",IF(AND(ISNUMBER($G8),$J8=""),IF($G8&gt;=PREDVOLBY!$C$26,PREDVOLBY!$C$25,"-"),"-"))</f>
        <v/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>Víkend</v>
      </c>
      <c r="V8">
        <f t="shared" si="3"/>
        <v>0</v>
      </c>
    </row>
    <row r="9" spans="1:22" ht="15.6" customHeight="1" x14ac:dyDescent="0.25">
      <c r="A9" s="17">
        <f>IF(MONTH(DATE(PREDVOLBY!$C$8,7,4))=7,DATE(PREDVOLBY!$C$8,7,4),"")</f>
        <v>46572</v>
      </c>
      <c r="B9" s="18" t="str">
        <f t="shared" si="0"/>
        <v>ne</v>
      </c>
      <c r="C9" s="19" t="str">
        <f>IF(OR($A9="",$U9="Víkend"),"",IF($V9&gt;=1,"-",PREDVOLBY!$C$18))</f>
        <v/>
      </c>
      <c r="D9" s="19" t="str">
        <f>IF(OR($A9="",$U9="Víkend"),"",IF($V9&gt;=1,"-",PREDVOLBY!$C$19))</f>
        <v/>
      </c>
      <c r="E9" s="19" t="str">
        <f>IF(OR($A9="",$U9="Víkend"),"",IF($V9&gt;=0.5,"-",PREDVOLBY!$C$20))</f>
        <v/>
      </c>
      <c r="F9" s="19" t="str">
        <f>IF(OR($A9="",$U9="Víkend"),"",IF($V9&gt;=0.5,"-",PREDVOLBY!$C$21))</f>
        <v/>
      </c>
      <c r="G9" s="20" t="str">
        <f t="shared" si="1"/>
        <v/>
      </c>
      <c r="H9" s="20" t="str">
        <f>IF($G9="","",IF(ISNUMBER($G9),MAX(0,ROUND($G9-PREDVOLBY!$C$22*(1-$V9),2)),"-"))</f>
        <v/>
      </c>
      <c r="I9" s="21" t="str">
        <f>IF($G9="","",IF(AND(ISNUMBER($G9),$J9=""),IF($G9&gt;=PREDVOLBY!$C$26,PREDVOLBY!$C$25,"-"),"-"))</f>
        <v/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>Víkend</v>
      </c>
      <c r="V9">
        <f t="shared" si="3"/>
        <v>0</v>
      </c>
    </row>
    <row r="10" spans="1:22" ht="15.6" customHeight="1" x14ac:dyDescent="0.25">
      <c r="A10" s="17">
        <f>IF(MONTH(DATE(PREDVOLBY!$C$8,7,5))=7,DATE(PREDVOLBY!$C$8,7,5),"")</f>
        <v>46573</v>
      </c>
      <c r="B10" s="18" t="str">
        <f t="shared" si="0"/>
        <v>po</v>
      </c>
      <c r="C10" s="19" t="str">
        <f>IF(OR($A10="",$U10="Víkend"),"",IF($V10&gt;=1,"-",PREDVOLBY!$C$18))</f>
        <v>-</v>
      </c>
      <c r="D10" s="19" t="str">
        <f>IF(OR($A10="",$U10="Víkend"),"",IF($V10&gt;=1,"-",PREDVOLBY!$C$19))</f>
        <v>-</v>
      </c>
      <c r="E10" s="19" t="str">
        <f>IF(OR($A10="",$U10="Víkend"),"",IF($V10&gt;=0.5,"-",PREDVOLBY!$C$20))</f>
        <v>-</v>
      </c>
      <c r="F10" s="19" t="str">
        <f>IF(OR($A10="",$U10="Víkend"),"",IF($V10&gt;=0.5,"-",PREDVOLBY!$C$21))</f>
        <v>-</v>
      </c>
      <c r="G10" s="20" t="str">
        <f t="shared" si="1"/>
        <v>-</v>
      </c>
      <c r="H10" s="20" t="str">
        <f>IF($G10="","",IF(ISNUMBER($G10),MAX(0,ROUND($G10-PREDVOLBY!$C$22*(1-$V10),2)),"-"))</f>
        <v>-</v>
      </c>
      <c r="I10" s="21" t="str">
        <f>IF($G10="","",IF(AND(ISNUMBER($G10),$J10=""),IF($G10&gt;=PREDVOLBY!$C$26,PREDVOLBY!$C$25,"-"),"-"))</f>
        <v>-</v>
      </c>
      <c r="J10" s="18"/>
      <c r="K10" s="18"/>
      <c r="L10" s="18"/>
      <c r="M10" s="18">
        <f t="shared" si="2"/>
        <v>1</v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>Den slovanských věrozvěstů Cyrila a Metoděje</v>
      </c>
      <c r="U10" t="str">
        <f>IF($A10="","",IF(WEEKDAY($A10,2)&gt;5,"Víkend",IF(COUNTIF(SVATKY_2027!$B$5:$B$22,$A10)&gt;0,"Svátek","")))</f>
        <v>Svátek</v>
      </c>
      <c r="V10">
        <f t="shared" si="3"/>
        <v>1</v>
      </c>
    </row>
    <row r="11" spans="1:22" ht="15.6" customHeight="1" x14ac:dyDescent="0.25">
      <c r="A11" s="17">
        <f>IF(MONTH(DATE(PREDVOLBY!$C$8,7,6))=7,DATE(PREDVOLBY!$C$8,7,6),"")</f>
        <v>46574</v>
      </c>
      <c r="B11" s="18" t="str">
        <f t="shared" si="0"/>
        <v>út</v>
      </c>
      <c r="C11" s="19" t="str">
        <f>IF(OR($A11="",$U11="Víkend"),"",IF($V11&gt;=1,"-",PREDVOLBY!$C$18))</f>
        <v>-</v>
      </c>
      <c r="D11" s="19" t="str">
        <f>IF(OR($A11="",$U11="Víkend"),"",IF($V11&gt;=1,"-",PREDVOLBY!$C$19))</f>
        <v>-</v>
      </c>
      <c r="E11" s="19" t="str">
        <f>IF(OR($A11="",$U11="Víkend"),"",IF($V11&gt;=0.5,"-",PREDVOLBY!$C$20))</f>
        <v>-</v>
      </c>
      <c r="F11" s="19" t="str">
        <f>IF(OR($A11="",$U11="Víkend"),"",IF($V11&gt;=0.5,"-",PREDVOLBY!$C$21))</f>
        <v>-</v>
      </c>
      <c r="G11" s="20" t="str">
        <f t="shared" si="1"/>
        <v>-</v>
      </c>
      <c r="H11" s="20" t="str">
        <f>IF($G11="","",IF(ISNUMBER($G11),MAX(0,ROUND($G11-PREDVOLBY!$C$22*(1-$V11),2)),"-"))</f>
        <v>-</v>
      </c>
      <c r="I11" s="21" t="str">
        <f>IF($G11="","",IF(AND(ISNUMBER($G11),$J11=""),IF($G11&gt;=PREDVOLBY!$C$26,PREDVOLBY!$C$25,"-"),"-"))</f>
        <v>-</v>
      </c>
      <c r="J11" s="18"/>
      <c r="K11" s="18"/>
      <c r="L11" s="18"/>
      <c r="M11" s="18">
        <f t="shared" si="2"/>
        <v>1</v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>Den upálení mistra Jana Husa</v>
      </c>
      <c r="U11" t="str">
        <f>IF($A11="","",IF(WEEKDAY($A11,2)&gt;5,"Víkend",IF(COUNTIF(SVATKY_2027!$B$5:$B$22,$A11)&gt;0,"Svátek","")))</f>
        <v>Svátek</v>
      </c>
      <c r="V11">
        <f t="shared" si="3"/>
        <v>1</v>
      </c>
    </row>
    <row r="12" spans="1:22" ht="15.6" customHeight="1" x14ac:dyDescent="0.25">
      <c r="A12" s="17">
        <f>IF(MONTH(DATE(PREDVOLBY!$C$8,7,7))=7,DATE(PREDVOLBY!$C$8,7,7),"")</f>
        <v>46575</v>
      </c>
      <c r="B12" s="18" t="str">
        <f t="shared" si="0"/>
        <v>st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IF(MONTH(DATE(PREDVOLBY!$C$8,7,8))=7,DATE(PREDVOLBY!$C$8,7,8),"")</f>
        <v>46576</v>
      </c>
      <c r="B13" s="18" t="str">
        <f t="shared" si="0"/>
        <v>čt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IF(MONTH(DATE(PREDVOLBY!$C$8,7,9))=7,DATE(PREDVOLBY!$C$8,7,9),"")</f>
        <v>46577</v>
      </c>
      <c r="B14" s="18" t="str">
        <f t="shared" si="0"/>
        <v>pá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IF(MONTH(DATE(PREDVOLBY!$C$8,7,10))=7,DATE(PREDVOLBY!$C$8,7,10),"")</f>
        <v>46578</v>
      </c>
      <c r="B15" s="18" t="str">
        <f t="shared" si="0"/>
        <v>so</v>
      </c>
      <c r="C15" s="19" t="str">
        <f>IF(OR($A15="",$U15="Víkend"),"",IF($V15&gt;=1,"-",PREDVOLBY!$C$18))</f>
        <v/>
      </c>
      <c r="D15" s="19" t="str">
        <f>IF(OR($A15="",$U15="Víkend"),"",IF($V15&gt;=1,"-",PREDVOLBY!$C$19))</f>
        <v/>
      </c>
      <c r="E15" s="19" t="str">
        <f>IF(OR($A15="",$U15="Víkend"),"",IF($V15&gt;=0.5,"-",PREDVOLBY!$C$20))</f>
        <v/>
      </c>
      <c r="F15" s="19" t="str">
        <f>IF(OR($A15="",$U15="Víkend"),"",IF($V15&gt;=0.5,"-",PREDVOLBY!$C$21))</f>
        <v/>
      </c>
      <c r="G15" s="20" t="str">
        <f t="shared" si="1"/>
        <v/>
      </c>
      <c r="H15" s="20" t="str">
        <f>IF($G15="","",IF(ISNUMBER($G15),MAX(0,ROUND($G15-PREDVOLBY!$C$22*(1-$V15),2)),"-"))</f>
        <v/>
      </c>
      <c r="I15" s="21" t="str">
        <f>IF($G15="","",IF(AND(ISNUMBER($G15),$J15=""),IF($G15&gt;=PREDVOLBY!$C$26,PREDVOLBY!$C$25,"-"),"-"))</f>
        <v/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>Víkend</v>
      </c>
      <c r="V15">
        <f t="shared" si="3"/>
        <v>0</v>
      </c>
    </row>
    <row r="16" spans="1:22" ht="15.6" customHeight="1" x14ac:dyDescent="0.25">
      <c r="A16" s="17">
        <f>IF(MONTH(DATE(PREDVOLBY!$C$8,7,11))=7,DATE(PREDVOLBY!$C$8,7,11),"")</f>
        <v>46579</v>
      </c>
      <c r="B16" s="18" t="str">
        <f t="shared" si="0"/>
        <v>ne</v>
      </c>
      <c r="C16" s="19" t="str">
        <f>IF(OR($A16="",$U16="Víkend"),"",IF($V16&gt;=1,"-",PREDVOLBY!$C$18))</f>
        <v/>
      </c>
      <c r="D16" s="19" t="str">
        <f>IF(OR($A16="",$U16="Víkend"),"",IF($V16&gt;=1,"-",PREDVOLBY!$C$19))</f>
        <v/>
      </c>
      <c r="E16" s="19" t="str">
        <f>IF(OR($A16="",$U16="Víkend"),"",IF($V16&gt;=0.5,"-",PREDVOLBY!$C$20))</f>
        <v/>
      </c>
      <c r="F16" s="19" t="str">
        <f>IF(OR($A16="",$U16="Víkend"),"",IF($V16&gt;=0.5,"-",PREDVOLBY!$C$21))</f>
        <v/>
      </c>
      <c r="G16" s="20" t="str">
        <f t="shared" si="1"/>
        <v/>
      </c>
      <c r="H16" s="20" t="str">
        <f>IF($G16="","",IF(ISNUMBER($G16),MAX(0,ROUND($G16-PREDVOLBY!$C$22*(1-$V16),2)),"-"))</f>
        <v/>
      </c>
      <c r="I16" s="21" t="str">
        <f>IF($G16="","",IF(AND(ISNUMBER($G16),$J16=""),IF($G16&gt;=PREDVOLBY!$C$26,PREDVOLBY!$C$25,"-"),"-"))</f>
        <v/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>Víkend</v>
      </c>
      <c r="V16">
        <f t="shared" si="3"/>
        <v>0</v>
      </c>
    </row>
    <row r="17" spans="1:22" ht="15.6" customHeight="1" x14ac:dyDescent="0.25">
      <c r="A17" s="17">
        <f>IF(MONTH(DATE(PREDVOLBY!$C$8,7,12))=7,DATE(PREDVOLBY!$C$8,7,12),"")</f>
        <v>46580</v>
      </c>
      <c r="B17" s="18" t="str">
        <f t="shared" si="0"/>
        <v>po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IF(MONTH(DATE(PREDVOLBY!$C$8,7,13))=7,DATE(PREDVOLBY!$C$8,7,13),"")</f>
        <v>46581</v>
      </c>
      <c r="B18" s="18" t="str">
        <f t="shared" si="0"/>
        <v>út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IF(MONTH(DATE(PREDVOLBY!$C$8,7,14))=7,DATE(PREDVOLBY!$C$8,7,14),"")</f>
        <v>46582</v>
      </c>
      <c r="B19" s="18" t="str">
        <f t="shared" si="0"/>
        <v>st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IF(MONTH(DATE(PREDVOLBY!$C$8,7,15))=7,DATE(PREDVOLBY!$C$8,7,15),"")</f>
        <v>46583</v>
      </c>
      <c r="B20" s="18" t="str">
        <f t="shared" si="0"/>
        <v>čt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IF(MONTH(DATE(PREDVOLBY!$C$8,7,16))=7,DATE(PREDVOLBY!$C$8,7,16),"")</f>
        <v>46584</v>
      </c>
      <c r="B21" s="18" t="str">
        <f t="shared" si="0"/>
        <v>pá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IF(MONTH(DATE(PREDVOLBY!$C$8,7,17))=7,DATE(PREDVOLBY!$C$8,7,17),"")</f>
        <v>46585</v>
      </c>
      <c r="B22" s="18" t="str">
        <f t="shared" si="0"/>
        <v>so</v>
      </c>
      <c r="C22" s="19" t="str">
        <f>IF(OR($A22="",$U22="Víkend"),"",IF($V22&gt;=1,"-",PREDVOLBY!$C$18))</f>
        <v/>
      </c>
      <c r="D22" s="19" t="str">
        <f>IF(OR($A22="",$U22="Víkend"),"",IF($V22&gt;=1,"-",PREDVOLBY!$C$19))</f>
        <v/>
      </c>
      <c r="E22" s="19" t="str">
        <f>IF(OR($A22="",$U22="Víkend"),"",IF($V22&gt;=0.5,"-",PREDVOLBY!$C$20))</f>
        <v/>
      </c>
      <c r="F22" s="19" t="str">
        <f>IF(OR($A22="",$U22="Víkend"),"",IF($V22&gt;=0.5,"-",PREDVOLBY!$C$21))</f>
        <v/>
      </c>
      <c r="G22" s="20" t="str">
        <f t="shared" si="1"/>
        <v/>
      </c>
      <c r="H22" s="20" t="str">
        <f>IF($G22="","",IF(ISNUMBER($G22),MAX(0,ROUND($G22-PREDVOLBY!$C$22*(1-$V22),2)),"-"))</f>
        <v/>
      </c>
      <c r="I22" s="21" t="str">
        <f>IF($G22="","",IF(AND(ISNUMBER($G22),$J22=""),IF($G22&gt;=PREDVOLBY!$C$26,PREDVOLBY!$C$25,"-"),"-"))</f>
        <v/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>Víkend</v>
      </c>
      <c r="V22">
        <f t="shared" si="3"/>
        <v>0</v>
      </c>
    </row>
    <row r="23" spans="1:22" ht="15.6" customHeight="1" x14ac:dyDescent="0.25">
      <c r="A23" s="17">
        <f>IF(MONTH(DATE(PREDVOLBY!$C$8,7,18))=7,DATE(PREDVOLBY!$C$8,7,18),"")</f>
        <v>46586</v>
      </c>
      <c r="B23" s="18" t="str">
        <f t="shared" si="0"/>
        <v>ne</v>
      </c>
      <c r="C23" s="19" t="str">
        <f>IF(OR($A23="",$U23="Víkend"),"",IF($V23&gt;=1,"-",PREDVOLBY!$C$18))</f>
        <v/>
      </c>
      <c r="D23" s="19" t="str">
        <f>IF(OR($A23="",$U23="Víkend"),"",IF($V23&gt;=1,"-",PREDVOLBY!$C$19))</f>
        <v/>
      </c>
      <c r="E23" s="19" t="str">
        <f>IF(OR($A23="",$U23="Víkend"),"",IF($V23&gt;=0.5,"-",PREDVOLBY!$C$20))</f>
        <v/>
      </c>
      <c r="F23" s="19" t="str">
        <f>IF(OR($A23="",$U23="Víkend"),"",IF($V23&gt;=0.5,"-",PREDVOLBY!$C$21))</f>
        <v/>
      </c>
      <c r="G23" s="20" t="str">
        <f t="shared" si="1"/>
        <v/>
      </c>
      <c r="H23" s="20" t="str">
        <f>IF($G23="","",IF(ISNUMBER($G23),MAX(0,ROUND($G23-PREDVOLBY!$C$22*(1-$V23),2)),"-"))</f>
        <v/>
      </c>
      <c r="I23" s="21" t="str">
        <f>IF($G23="","",IF(AND(ISNUMBER($G23),$J23=""),IF($G23&gt;=PREDVOLBY!$C$26,PREDVOLBY!$C$25,"-"),"-"))</f>
        <v/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>Víkend</v>
      </c>
      <c r="V23">
        <f t="shared" si="3"/>
        <v>0</v>
      </c>
    </row>
    <row r="24" spans="1:22" ht="15.6" customHeight="1" x14ac:dyDescent="0.25">
      <c r="A24" s="17">
        <f>IF(MONTH(DATE(PREDVOLBY!$C$8,7,19))=7,DATE(PREDVOLBY!$C$8,7,19),"")</f>
        <v>46587</v>
      </c>
      <c r="B24" s="18" t="str">
        <f t="shared" si="0"/>
        <v>po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IF(MONTH(DATE(PREDVOLBY!$C$8,7,20))=7,DATE(PREDVOLBY!$C$8,7,20),"")</f>
        <v>46588</v>
      </c>
      <c r="B25" s="18" t="str">
        <f t="shared" si="0"/>
        <v>út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IF(MONTH(DATE(PREDVOLBY!$C$8,7,21))=7,DATE(PREDVOLBY!$C$8,7,21),"")</f>
        <v>46589</v>
      </c>
      <c r="B26" s="18" t="str">
        <f t="shared" si="0"/>
        <v>st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IF(MONTH(DATE(PREDVOLBY!$C$8,7,22))=7,DATE(PREDVOLBY!$C$8,7,22),"")</f>
        <v>46590</v>
      </c>
      <c r="B27" s="18" t="str">
        <f t="shared" si="0"/>
        <v>čt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IF(MONTH(DATE(PREDVOLBY!$C$8,7,23))=7,DATE(PREDVOLBY!$C$8,7,23),"")</f>
        <v>46591</v>
      </c>
      <c r="B28" s="18" t="str">
        <f t="shared" si="0"/>
        <v>pá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IF(MONTH(DATE(PREDVOLBY!$C$8,7,24))=7,DATE(PREDVOLBY!$C$8,7,24),"")</f>
        <v>46592</v>
      </c>
      <c r="B29" s="18" t="str">
        <f t="shared" si="0"/>
        <v>so</v>
      </c>
      <c r="C29" s="19" t="str">
        <f>IF(OR($A29="",$U29="Víkend"),"",IF($V29&gt;=1,"-",PREDVOLBY!$C$18))</f>
        <v/>
      </c>
      <c r="D29" s="19" t="str">
        <f>IF(OR($A29="",$U29="Víkend"),"",IF($V29&gt;=1,"-",PREDVOLBY!$C$19))</f>
        <v/>
      </c>
      <c r="E29" s="19" t="str">
        <f>IF(OR($A29="",$U29="Víkend"),"",IF($V29&gt;=0.5,"-",PREDVOLBY!$C$20))</f>
        <v/>
      </c>
      <c r="F29" s="19" t="str">
        <f>IF(OR($A29="",$U29="Víkend"),"",IF($V29&gt;=0.5,"-",PREDVOLBY!$C$21))</f>
        <v/>
      </c>
      <c r="G29" s="20" t="str">
        <f t="shared" si="1"/>
        <v/>
      </c>
      <c r="H29" s="20" t="str">
        <f>IF($G29="","",IF(ISNUMBER($G29),MAX(0,ROUND($G29-PREDVOLBY!$C$22*(1-$V29),2)),"-"))</f>
        <v/>
      </c>
      <c r="I29" s="21" t="str">
        <f>IF($G29="","",IF(AND(ISNUMBER($G29),$J29=""),IF($G29&gt;=PREDVOLBY!$C$26,PREDVOLBY!$C$25,"-"),"-"))</f>
        <v/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>Víkend</v>
      </c>
      <c r="V29">
        <f t="shared" si="3"/>
        <v>0</v>
      </c>
    </row>
    <row r="30" spans="1:22" ht="15.6" customHeight="1" x14ac:dyDescent="0.25">
      <c r="A30" s="17">
        <f>IF(MONTH(DATE(PREDVOLBY!$C$8,7,25))=7,DATE(PREDVOLBY!$C$8,7,25),"")</f>
        <v>46593</v>
      </c>
      <c r="B30" s="18" t="str">
        <f t="shared" si="0"/>
        <v>ne</v>
      </c>
      <c r="C30" s="19" t="str">
        <f>IF(OR($A30="",$U30="Víkend"),"",IF($V30&gt;=1,"-",PREDVOLBY!$C$18))</f>
        <v/>
      </c>
      <c r="D30" s="19" t="str">
        <f>IF(OR($A30="",$U30="Víkend"),"",IF($V30&gt;=1,"-",PREDVOLBY!$C$19))</f>
        <v/>
      </c>
      <c r="E30" s="19" t="str">
        <f>IF(OR($A30="",$U30="Víkend"),"",IF($V30&gt;=0.5,"-",PREDVOLBY!$C$20))</f>
        <v/>
      </c>
      <c r="F30" s="19" t="str">
        <f>IF(OR($A30="",$U30="Víkend"),"",IF($V30&gt;=0.5,"-",PREDVOLBY!$C$21))</f>
        <v/>
      </c>
      <c r="G30" s="20" t="str">
        <f t="shared" si="1"/>
        <v/>
      </c>
      <c r="H30" s="20" t="str">
        <f>IF($G30="","",IF(ISNUMBER($G30),MAX(0,ROUND($G30-PREDVOLBY!$C$22*(1-$V30),2)),"-"))</f>
        <v/>
      </c>
      <c r="I30" s="21" t="str">
        <f>IF($G30="","",IF(AND(ISNUMBER($G30),$J30=""),IF($G30&gt;=PREDVOLBY!$C$26,PREDVOLBY!$C$25,"-"),"-"))</f>
        <v/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>Víkend</v>
      </c>
      <c r="V30">
        <f t="shared" si="3"/>
        <v>0</v>
      </c>
    </row>
    <row r="31" spans="1:22" ht="15.6" customHeight="1" x14ac:dyDescent="0.25">
      <c r="A31" s="17">
        <f>IF(MONTH(DATE(PREDVOLBY!$C$8,7,26))=7,DATE(PREDVOLBY!$C$8,7,26),"")</f>
        <v>46594</v>
      </c>
      <c r="B31" s="18" t="str">
        <f t="shared" si="0"/>
        <v>po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IF(MONTH(DATE(PREDVOLBY!$C$8,7,27))=7,DATE(PREDVOLBY!$C$8,7,27),"")</f>
        <v>46595</v>
      </c>
      <c r="B32" s="18" t="str">
        <f t="shared" si="0"/>
        <v>út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IF(MONTH(DATE(PREDVOLBY!$C$8,7,28))=7,DATE(PREDVOLBY!$C$8,7,28),"")</f>
        <v>46596</v>
      </c>
      <c r="B33" s="18" t="str">
        <f t="shared" si="0"/>
        <v>st</v>
      </c>
      <c r="C33" s="19">
        <f>IF(OR($A33="",$U33="Víkend"),"",IF($V33&gt;=1,"-",PREDVOLBY!$C$18))</f>
        <v>0.3125</v>
      </c>
      <c r="D33" s="19">
        <f>IF(OR($A33="",$U33="Víkend"),"",IF($V33&gt;=1,"-",PREDVOLBY!$C$19))</f>
        <v>0.47916666666666669</v>
      </c>
      <c r="E33" s="19">
        <f>IF(OR($A33="",$U33="Víkend"),"",IF($V33&gt;=0.5,"-",PREDVOLBY!$C$20))</f>
        <v>0.5</v>
      </c>
      <c r="F33" s="19">
        <f>IF(OR($A33="",$U33="Víkend"),"",IF($V33&gt;=0.5,"-",PREDVOLBY!$C$21))</f>
        <v>0.66666666666666663</v>
      </c>
      <c r="G33" s="20">
        <f t="shared" si="1"/>
        <v>8</v>
      </c>
      <c r="H33" s="20">
        <f>IF($G33="","",IF(ISNUMBER($G33),MAX(0,ROUND($G33-PREDVOLBY!$C$22*(1-$V33),2)),"-"))</f>
        <v>0</v>
      </c>
      <c r="I33" s="21">
        <f>IF($G33="","",IF(AND(ISNUMBER($G33),$J33=""),IF($G33&gt;=PREDVOLBY!$C$26,PREDVOLBY!$C$25,"-"),"-"))</f>
        <v>129.5</v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/>
      </c>
      <c r="V33">
        <f t="shared" si="3"/>
        <v>0</v>
      </c>
    </row>
    <row r="34" spans="1:22" ht="15.6" customHeight="1" x14ac:dyDescent="0.25">
      <c r="A34" s="17">
        <f>IF(MONTH(DATE(PREDVOLBY!$C$8,7,29))=7,DATE(PREDVOLBY!$C$8,7,29),"")</f>
        <v>46597</v>
      </c>
      <c r="B34" s="18" t="str">
        <f t="shared" si="0"/>
        <v>čt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IF(MONTH(DATE(PREDVOLBY!$C$8,7,30))=7,DATE(PREDVOLBY!$C$8,7,30),"")</f>
        <v>46598</v>
      </c>
      <c r="B35" s="18" t="str">
        <f t="shared" si="0"/>
        <v>pá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>
        <f>IF(MONTH(DATE(PREDVOLBY!$C$8,7,31))=7,DATE(PREDVOLBY!$C$8,7,31),"")</f>
        <v>46599</v>
      </c>
      <c r="B36" s="18" t="str">
        <f t="shared" si="0"/>
        <v>so</v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>Víkend</v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160</v>
      </c>
      <c r="H37" s="25">
        <f>SUM(H6:H36)</f>
        <v>0</v>
      </c>
      <c r="I37" s="26">
        <f>SUM(I6:I36)</f>
        <v>2590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2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20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"&amp;SUM('01_2027'!$K$37,'02_2027'!$K$37,'03_2027'!$K$37,'04_2027'!$K$37,'05_2027'!$K$37,'06_2027'!$K$37,'07_2027'!$K$37)&amp;" / "&amp;PREDVOLBY!$C$13&amp;" dní (zbývá "&amp;(PREDVOLBY!$C$13-SUM('01_2027'!$K$37,'02_2027'!$K$37,'03_2027'!$K$37,'04_2027'!$K$37,'05_2027'!$K$37,'06_2027'!$K$37,'07_2027'!$K$37))&amp;")"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"&amp;SUM('01_2027'!$Q$37,'02_2027'!$Q$37,'03_2027'!$Q$37,'04_2027'!$Q$37,'05_2027'!$Q$37,'06_2027'!$Q$37,'07_2027'!$Q$37)&amp;"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"&amp;SUM('01_2027'!$R$37,'02_2027'!$R$37,'03_2027'!$R$37,'04_2027'!$R$37,'05_2027'!$R$37,'06_2027'!$R$37,'07_2027'!$R$37)&amp;"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23" priority="1">
      <formula>$U6="Víkend"</formula>
    </cfRule>
    <cfRule type="expression" dxfId="22" priority="2">
      <formula>$U6="Svátek"</formula>
    </cfRule>
  </conditionalFormatting>
  <conditionalFormatting sqref="I3:S3">
    <cfRule type="expression" dxfId="21" priority="4">
      <formula>$I$3="DOPLŇTE ÚDAJE V KARTĚ PŘEDVOLBY"</formula>
    </cfRule>
  </conditionalFormatting>
  <conditionalFormatting sqref="K6:R36">
    <cfRule type="expression" dxfId="20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8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Červenec 2027&amp;R&amp;"Arial,Regular"&amp;8Strana &amp;P z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9D7C"/>
    <pageSetUpPr fitToPage="1"/>
  </sheetPr>
  <dimension ref="A1:V51"/>
  <sheetViews>
    <sheetView showGridLines="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92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46600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IF(MONTH(DATE(PREDVOLBY!$C$8,8,1))=8,DATE(PREDVOLBY!$C$8,8,1),"")</f>
        <v>46600</v>
      </c>
      <c r="B6" s="18" t="str">
        <f t="shared" ref="B6:B36" si="0">IF($A6="","",CHOOSE(WEEKDAY($A6,2),"po","út","st","čt","pá","so","ne"))</f>
        <v>ne</v>
      </c>
      <c r="C6" s="19" t="str">
        <f>IF(OR($A6="",$U6="Víkend"),"",IF($V6&gt;=1,"-",PREDVOLBY!$C$18))</f>
        <v/>
      </c>
      <c r="D6" s="19" t="str">
        <f>IF(OR($A6="",$U6="Víkend"),"",IF($V6&gt;=1,"-",PREDVOLBY!$C$19))</f>
        <v/>
      </c>
      <c r="E6" s="19" t="str">
        <f>IF(OR($A6="",$U6="Víkend"),"",IF($V6&gt;=0.5,"-",PREDVOLBY!$C$20))</f>
        <v/>
      </c>
      <c r="F6" s="19" t="str">
        <f>IF(OR($A6="",$U6="Víkend"),"",IF($V6&gt;=0.5,"-",PREDVOLBY!$C$21))</f>
        <v/>
      </c>
      <c r="G6" s="20" t="str">
        <f t="shared" ref="G6:G36" si="1">IF(OR($A6="",$U6="Víkend"),"",IF(ISNUMBER($C6)+ISNUMBER($E6)=0,"-",ROUND((IF(ISNUMBER($C6),$D6-$C6,0)+IF(ISNUMBER($E6),$F6-$E6,0))*24,2)))</f>
        <v/>
      </c>
      <c r="H6" s="20" t="str">
        <f>IF($G6="","",IF(ISNUMBER($G6),MAX(0,ROUND($G6-PREDVOLBY!$C$22*(1-$V6),2)),"-"))</f>
        <v/>
      </c>
      <c r="I6" s="21" t="str">
        <f>IF($G6="","",IF(AND(ISNUMBER($G6),$J6=""),IF($G6&gt;=PREDVOLBY!$C$26,PREDVOLBY!$C$25,"-"),"-"))</f>
        <v/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>Víkend</v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IF(MONTH(DATE(PREDVOLBY!$C$8,8,2))=8,DATE(PREDVOLBY!$C$8,8,2),"")</f>
        <v>46601</v>
      </c>
      <c r="B7" s="18" t="str">
        <f t="shared" si="0"/>
        <v>po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IF(MONTH(DATE(PREDVOLBY!$C$8,8,3))=8,DATE(PREDVOLBY!$C$8,8,3),"")</f>
        <v>46602</v>
      </c>
      <c r="B8" s="18" t="str">
        <f t="shared" si="0"/>
        <v>út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IF(MONTH(DATE(PREDVOLBY!$C$8,8,4))=8,DATE(PREDVOLBY!$C$8,8,4),"")</f>
        <v>46603</v>
      </c>
      <c r="B9" s="18" t="str">
        <f t="shared" si="0"/>
        <v>st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IF(MONTH(DATE(PREDVOLBY!$C$8,8,5))=8,DATE(PREDVOLBY!$C$8,8,5),"")</f>
        <v>46604</v>
      </c>
      <c r="B10" s="18" t="str">
        <f t="shared" si="0"/>
        <v>čt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IF(MONTH(DATE(PREDVOLBY!$C$8,8,6))=8,DATE(PREDVOLBY!$C$8,8,6),"")</f>
        <v>46605</v>
      </c>
      <c r="B11" s="18" t="str">
        <f t="shared" si="0"/>
        <v>pá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IF(MONTH(DATE(PREDVOLBY!$C$8,8,7))=8,DATE(PREDVOLBY!$C$8,8,7),"")</f>
        <v>46606</v>
      </c>
      <c r="B12" s="18" t="str">
        <f t="shared" si="0"/>
        <v>so</v>
      </c>
      <c r="C12" s="19" t="str">
        <f>IF(OR($A12="",$U12="Víkend"),"",IF($V12&gt;=1,"-",PREDVOLBY!$C$18))</f>
        <v/>
      </c>
      <c r="D12" s="19" t="str">
        <f>IF(OR($A12="",$U12="Víkend"),"",IF($V12&gt;=1,"-",PREDVOLBY!$C$19))</f>
        <v/>
      </c>
      <c r="E12" s="19" t="str">
        <f>IF(OR($A12="",$U12="Víkend"),"",IF($V12&gt;=0.5,"-",PREDVOLBY!$C$20))</f>
        <v/>
      </c>
      <c r="F12" s="19" t="str">
        <f>IF(OR($A12="",$U12="Víkend"),"",IF($V12&gt;=0.5,"-",PREDVOLBY!$C$21))</f>
        <v/>
      </c>
      <c r="G12" s="20" t="str">
        <f t="shared" si="1"/>
        <v/>
      </c>
      <c r="H12" s="20" t="str">
        <f>IF($G12="","",IF(ISNUMBER($G12),MAX(0,ROUND($G12-PREDVOLBY!$C$22*(1-$V12),2)),"-"))</f>
        <v/>
      </c>
      <c r="I12" s="21" t="str">
        <f>IF($G12="","",IF(AND(ISNUMBER($G12),$J12=""),IF($G12&gt;=PREDVOLBY!$C$26,PREDVOLBY!$C$25,"-"),"-"))</f>
        <v/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>Víkend</v>
      </c>
      <c r="V12">
        <f t="shared" si="3"/>
        <v>0</v>
      </c>
    </row>
    <row r="13" spans="1:22" ht="15.6" customHeight="1" x14ac:dyDescent="0.25">
      <c r="A13" s="17">
        <f>IF(MONTH(DATE(PREDVOLBY!$C$8,8,8))=8,DATE(PREDVOLBY!$C$8,8,8),"")</f>
        <v>46607</v>
      </c>
      <c r="B13" s="18" t="str">
        <f t="shared" si="0"/>
        <v>ne</v>
      </c>
      <c r="C13" s="19" t="str">
        <f>IF(OR($A13="",$U13="Víkend"),"",IF($V13&gt;=1,"-",PREDVOLBY!$C$18))</f>
        <v/>
      </c>
      <c r="D13" s="19" t="str">
        <f>IF(OR($A13="",$U13="Víkend"),"",IF($V13&gt;=1,"-",PREDVOLBY!$C$19))</f>
        <v/>
      </c>
      <c r="E13" s="19" t="str">
        <f>IF(OR($A13="",$U13="Víkend"),"",IF($V13&gt;=0.5,"-",PREDVOLBY!$C$20))</f>
        <v/>
      </c>
      <c r="F13" s="19" t="str">
        <f>IF(OR($A13="",$U13="Víkend"),"",IF($V13&gt;=0.5,"-",PREDVOLBY!$C$21))</f>
        <v/>
      </c>
      <c r="G13" s="20" t="str">
        <f t="shared" si="1"/>
        <v/>
      </c>
      <c r="H13" s="20" t="str">
        <f>IF($G13="","",IF(ISNUMBER($G13),MAX(0,ROUND($G13-PREDVOLBY!$C$22*(1-$V13),2)),"-"))</f>
        <v/>
      </c>
      <c r="I13" s="21" t="str">
        <f>IF($G13="","",IF(AND(ISNUMBER($G13),$J13=""),IF($G13&gt;=PREDVOLBY!$C$26,PREDVOLBY!$C$25,"-"),"-"))</f>
        <v/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>Víkend</v>
      </c>
      <c r="V13">
        <f t="shared" si="3"/>
        <v>0</v>
      </c>
    </row>
    <row r="14" spans="1:22" ht="15.6" customHeight="1" x14ac:dyDescent="0.25">
      <c r="A14" s="17">
        <f>IF(MONTH(DATE(PREDVOLBY!$C$8,8,9))=8,DATE(PREDVOLBY!$C$8,8,9),"")</f>
        <v>46608</v>
      </c>
      <c r="B14" s="18" t="str">
        <f t="shared" si="0"/>
        <v>po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IF(MONTH(DATE(PREDVOLBY!$C$8,8,10))=8,DATE(PREDVOLBY!$C$8,8,10),"")</f>
        <v>46609</v>
      </c>
      <c r="B15" s="18" t="str">
        <f t="shared" si="0"/>
        <v>út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IF(MONTH(DATE(PREDVOLBY!$C$8,8,11))=8,DATE(PREDVOLBY!$C$8,8,11),"")</f>
        <v>46610</v>
      </c>
      <c r="B16" s="18" t="str">
        <f t="shared" si="0"/>
        <v>st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IF(MONTH(DATE(PREDVOLBY!$C$8,8,12))=8,DATE(PREDVOLBY!$C$8,8,12),"")</f>
        <v>46611</v>
      </c>
      <c r="B17" s="18" t="str">
        <f t="shared" si="0"/>
        <v>čt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IF(MONTH(DATE(PREDVOLBY!$C$8,8,13))=8,DATE(PREDVOLBY!$C$8,8,13),"")</f>
        <v>46612</v>
      </c>
      <c r="B18" s="18" t="str">
        <f t="shared" si="0"/>
        <v>pá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IF(MONTH(DATE(PREDVOLBY!$C$8,8,14))=8,DATE(PREDVOLBY!$C$8,8,14),"")</f>
        <v>46613</v>
      </c>
      <c r="B19" s="18" t="str">
        <f t="shared" si="0"/>
        <v>so</v>
      </c>
      <c r="C19" s="19" t="str">
        <f>IF(OR($A19="",$U19="Víkend"),"",IF($V19&gt;=1,"-",PREDVOLBY!$C$18))</f>
        <v/>
      </c>
      <c r="D19" s="19" t="str">
        <f>IF(OR($A19="",$U19="Víkend"),"",IF($V19&gt;=1,"-",PREDVOLBY!$C$19))</f>
        <v/>
      </c>
      <c r="E19" s="19" t="str">
        <f>IF(OR($A19="",$U19="Víkend"),"",IF($V19&gt;=0.5,"-",PREDVOLBY!$C$20))</f>
        <v/>
      </c>
      <c r="F19" s="19" t="str">
        <f>IF(OR($A19="",$U19="Víkend"),"",IF($V19&gt;=0.5,"-",PREDVOLBY!$C$21))</f>
        <v/>
      </c>
      <c r="G19" s="20" t="str">
        <f t="shared" si="1"/>
        <v/>
      </c>
      <c r="H19" s="20" t="str">
        <f>IF($G19="","",IF(ISNUMBER($G19),MAX(0,ROUND($G19-PREDVOLBY!$C$22*(1-$V19),2)),"-"))</f>
        <v/>
      </c>
      <c r="I19" s="21" t="str">
        <f>IF($G19="","",IF(AND(ISNUMBER($G19),$J19=""),IF($G19&gt;=PREDVOLBY!$C$26,PREDVOLBY!$C$25,"-"),"-"))</f>
        <v/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>Víkend</v>
      </c>
      <c r="V19">
        <f t="shared" si="3"/>
        <v>0</v>
      </c>
    </row>
    <row r="20" spans="1:22" ht="15.6" customHeight="1" x14ac:dyDescent="0.25">
      <c r="A20" s="17">
        <f>IF(MONTH(DATE(PREDVOLBY!$C$8,8,15))=8,DATE(PREDVOLBY!$C$8,8,15),"")</f>
        <v>46614</v>
      </c>
      <c r="B20" s="18" t="str">
        <f t="shared" si="0"/>
        <v>ne</v>
      </c>
      <c r="C20" s="19" t="str">
        <f>IF(OR($A20="",$U20="Víkend"),"",IF($V20&gt;=1,"-",PREDVOLBY!$C$18))</f>
        <v/>
      </c>
      <c r="D20" s="19" t="str">
        <f>IF(OR($A20="",$U20="Víkend"),"",IF($V20&gt;=1,"-",PREDVOLBY!$C$19))</f>
        <v/>
      </c>
      <c r="E20" s="19" t="str">
        <f>IF(OR($A20="",$U20="Víkend"),"",IF($V20&gt;=0.5,"-",PREDVOLBY!$C$20))</f>
        <v/>
      </c>
      <c r="F20" s="19" t="str">
        <f>IF(OR($A20="",$U20="Víkend"),"",IF($V20&gt;=0.5,"-",PREDVOLBY!$C$21))</f>
        <v/>
      </c>
      <c r="G20" s="20" t="str">
        <f t="shared" si="1"/>
        <v/>
      </c>
      <c r="H20" s="20" t="str">
        <f>IF($G20="","",IF(ISNUMBER($G20),MAX(0,ROUND($G20-PREDVOLBY!$C$22*(1-$V20),2)),"-"))</f>
        <v/>
      </c>
      <c r="I20" s="21" t="str">
        <f>IF($G20="","",IF(AND(ISNUMBER($G20),$J20=""),IF($G20&gt;=PREDVOLBY!$C$26,PREDVOLBY!$C$25,"-"),"-"))</f>
        <v/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>Víkend</v>
      </c>
      <c r="V20">
        <f t="shared" si="3"/>
        <v>0</v>
      </c>
    </row>
    <row r="21" spans="1:22" ht="15.6" customHeight="1" x14ac:dyDescent="0.25">
      <c r="A21" s="17">
        <f>IF(MONTH(DATE(PREDVOLBY!$C$8,8,16))=8,DATE(PREDVOLBY!$C$8,8,16),"")</f>
        <v>46615</v>
      </c>
      <c r="B21" s="18" t="str">
        <f t="shared" si="0"/>
        <v>po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IF(MONTH(DATE(PREDVOLBY!$C$8,8,17))=8,DATE(PREDVOLBY!$C$8,8,17),"")</f>
        <v>46616</v>
      </c>
      <c r="B22" s="18" t="str">
        <f t="shared" si="0"/>
        <v>út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IF(MONTH(DATE(PREDVOLBY!$C$8,8,18))=8,DATE(PREDVOLBY!$C$8,8,18),"")</f>
        <v>46617</v>
      </c>
      <c r="B23" s="18" t="str">
        <f t="shared" si="0"/>
        <v>st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IF(MONTH(DATE(PREDVOLBY!$C$8,8,19))=8,DATE(PREDVOLBY!$C$8,8,19),"")</f>
        <v>46618</v>
      </c>
      <c r="B24" s="18" t="str">
        <f t="shared" si="0"/>
        <v>čt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IF(MONTH(DATE(PREDVOLBY!$C$8,8,20))=8,DATE(PREDVOLBY!$C$8,8,20),"")</f>
        <v>46619</v>
      </c>
      <c r="B25" s="18" t="str">
        <f t="shared" si="0"/>
        <v>pá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IF(MONTH(DATE(PREDVOLBY!$C$8,8,21))=8,DATE(PREDVOLBY!$C$8,8,21),"")</f>
        <v>46620</v>
      </c>
      <c r="B26" s="18" t="str">
        <f t="shared" si="0"/>
        <v>so</v>
      </c>
      <c r="C26" s="19" t="str">
        <f>IF(OR($A26="",$U26="Víkend"),"",IF($V26&gt;=1,"-",PREDVOLBY!$C$18))</f>
        <v/>
      </c>
      <c r="D26" s="19" t="str">
        <f>IF(OR($A26="",$U26="Víkend"),"",IF($V26&gt;=1,"-",PREDVOLBY!$C$19))</f>
        <v/>
      </c>
      <c r="E26" s="19" t="str">
        <f>IF(OR($A26="",$U26="Víkend"),"",IF($V26&gt;=0.5,"-",PREDVOLBY!$C$20))</f>
        <v/>
      </c>
      <c r="F26" s="19" t="str">
        <f>IF(OR($A26="",$U26="Víkend"),"",IF($V26&gt;=0.5,"-",PREDVOLBY!$C$21))</f>
        <v/>
      </c>
      <c r="G26" s="20" t="str">
        <f t="shared" si="1"/>
        <v/>
      </c>
      <c r="H26" s="20" t="str">
        <f>IF($G26="","",IF(ISNUMBER($G26),MAX(0,ROUND($G26-PREDVOLBY!$C$22*(1-$V26),2)),"-"))</f>
        <v/>
      </c>
      <c r="I26" s="21" t="str">
        <f>IF($G26="","",IF(AND(ISNUMBER($G26),$J26=""),IF($G26&gt;=PREDVOLBY!$C$26,PREDVOLBY!$C$25,"-"),"-"))</f>
        <v/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>Víkend</v>
      </c>
      <c r="V26">
        <f t="shared" si="3"/>
        <v>0</v>
      </c>
    </row>
    <row r="27" spans="1:22" ht="15.6" customHeight="1" x14ac:dyDescent="0.25">
      <c r="A27" s="17">
        <f>IF(MONTH(DATE(PREDVOLBY!$C$8,8,22))=8,DATE(PREDVOLBY!$C$8,8,22),"")</f>
        <v>46621</v>
      </c>
      <c r="B27" s="18" t="str">
        <f t="shared" si="0"/>
        <v>ne</v>
      </c>
      <c r="C27" s="19" t="str">
        <f>IF(OR($A27="",$U27="Víkend"),"",IF($V27&gt;=1,"-",PREDVOLBY!$C$18))</f>
        <v/>
      </c>
      <c r="D27" s="19" t="str">
        <f>IF(OR($A27="",$U27="Víkend"),"",IF($V27&gt;=1,"-",PREDVOLBY!$C$19))</f>
        <v/>
      </c>
      <c r="E27" s="19" t="str">
        <f>IF(OR($A27="",$U27="Víkend"),"",IF($V27&gt;=0.5,"-",PREDVOLBY!$C$20))</f>
        <v/>
      </c>
      <c r="F27" s="19" t="str">
        <f>IF(OR($A27="",$U27="Víkend"),"",IF($V27&gt;=0.5,"-",PREDVOLBY!$C$21))</f>
        <v/>
      </c>
      <c r="G27" s="20" t="str">
        <f t="shared" si="1"/>
        <v/>
      </c>
      <c r="H27" s="20" t="str">
        <f>IF($G27="","",IF(ISNUMBER($G27),MAX(0,ROUND($G27-PREDVOLBY!$C$22*(1-$V27),2)),"-"))</f>
        <v/>
      </c>
      <c r="I27" s="21" t="str">
        <f>IF($G27="","",IF(AND(ISNUMBER($G27),$J27=""),IF($G27&gt;=PREDVOLBY!$C$26,PREDVOLBY!$C$25,"-"),"-"))</f>
        <v/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>Víkend</v>
      </c>
      <c r="V27">
        <f t="shared" si="3"/>
        <v>0</v>
      </c>
    </row>
    <row r="28" spans="1:22" ht="15.6" customHeight="1" x14ac:dyDescent="0.25">
      <c r="A28" s="17">
        <f>IF(MONTH(DATE(PREDVOLBY!$C$8,8,23))=8,DATE(PREDVOLBY!$C$8,8,23),"")</f>
        <v>46622</v>
      </c>
      <c r="B28" s="18" t="str">
        <f t="shared" si="0"/>
        <v>po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IF(MONTH(DATE(PREDVOLBY!$C$8,8,24))=8,DATE(PREDVOLBY!$C$8,8,24),"")</f>
        <v>46623</v>
      </c>
      <c r="B29" s="18" t="str">
        <f t="shared" si="0"/>
        <v>út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IF(MONTH(DATE(PREDVOLBY!$C$8,8,25))=8,DATE(PREDVOLBY!$C$8,8,25),"")</f>
        <v>46624</v>
      </c>
      <c r="B30" s="18" t="str">
        <f t="shared" si="0"/>
        <v>st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IF(MONTH(DATE(PREDVOLBY!$C$8,8,26))=8,DATE(PREDVOLBY!$C$8,8,26),"")</f>
        <v>46625</v>
      </c>
      <c r="B31" s="18" t="str">
        <f t="shared" si="0"/>
        <v>čt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IF(MONTH(DATE(PREDVOLBY!$C$8,8,27))=8,DATE(PREDVOLBY!$C$8,8,27),"")</f>
        <v>46626</v>
      </c>
      <c r="B32" s="18" t="str">
        <f t="shared" si="0"/>
        <v>pá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IF(MONTH(DATE(PREDVOLBY!$C$8,8,28))=8,DATE(PREDVOLBY!$C$8,8,28),"")</f>
        <v>46627</v>
      </c>
      <c r="B33" s="18" t="str">
        <f t="shared" si="0"/>
        <v>so</v>
      </c>
      <c r="C33" s="19" t="str">
        <f>IF(OR($A33="",$U33="Víkend"),"",IF($V33&gt;=1,"-",PREDVOLBY!$C$18))</f>
        <v/>
      </c>
      <c r="D33" s="19" t="str">
        <f>IF(OR($A33="",$U33="Víkend"),"",IF($V33&gt;=1,"-",PREDVOLBY!$C$19))</f>
        <v/>
      </c>
      <c r="E33" s="19" t="str">
        <f>IF(OR($A33="",$U33="Víkend"),"",IF($V33&gt;=0.5,"-",PREDVOLBY!$C$20))</f>
        <v/>
      </c>
      <c r="F33" s="19" t="str">
        <f>IF(OR($A33="",$U33="Víkend"),"",IF($V33&gt;=0.5,"-",PREDVOLBY!$C$21))</f>
        <v/>
      </c>
      <c r="G33" s="20" t="str">
        <f t="shared" si="1"/>
        <v/>
      </c>
      <c r="H33" s="20" t="str">
        <f>IF($G33="","",IF(ISNUMBER($G33),MAX(0,ROUND($G33-PREDVOLBY!$C$22*(1-$V33),2)),"-"))</f>
        <v/>
      </c>
      <c r="I33" s="21" t="str">
        <f>IF($G33="","",IF(AND(ISNUMBER($G33),$J33=""),IF($G33&gt;=PREDVOLBY!$C$26,PREDVOLBY!$C$25,"-"),"-"))</f>
        <v/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>Víkend</v>
      </c>
      <c r="V33">
        <f t="shared" si="3"/>
        <v>0</v>
      </c>
    </row>
    <row r="34" spans="1:22" ht="15.6" customHeight="1" x14ac:dyDescent="0.25">
      <c r="A34" s="17">
        <f>IF(MONTH(DATE(PREDVOLBY!$C$8,8,29))=8,DATE(PREDVOLBY!$C$8,8,29),"")</f>
        <v>46628</v>
      </c>
      <c r="B34" s="18" t="str">
        <f t="shared" si="0"/>
        <v>ne</v>
      </c>
      <c r="C34" s="19" t="str">
        <f>IF(OR($A34="",$U34="Víkend"),"",IF($V34&gt;=1,"-",PREDVOLBY!$C$18))</f>
        <v/>
      </c>
      <c r="D34" s="19" t="str">
        <f>IF(OR($A34="",$U34="Víkend"),"",IF($V34&gt;=1,"-",PREDVOLBY!$C$19))</f>
        <v/>
      </c>
      <c r="E34" s="19" t="str">
        <f>IF(OR($A34="",$U34="Víkend"),"",IF($V34&gt;=0.5,"-",PREDVOLBY!$C$20))</f>
        <v/>
      </c>
      <c r="F34" s="19" t="str">
        <f>IF(OR($A34="",$U34="Víkend"),"",IF($V34&gt;=0.5,"-",PREDVOLBY!$C$21))</f>
        <v/>
      </c>
      <c r="G34" s="20" t="str">
        <f t="shared" si="1"/>
        <v/>
      </c>
      <c r="H34" s="20" t="str">
        <f>IF($G34="","",IF(ISNUMBER($G34),MAX(0,ROUND($G34-PREDVOLBY!$C$22*(1-$V34),2)),"-"))</f>
        <v/>
      </c>
      <c r="I34" s="21" t="str">
        <f>IF($G34="","",IF(AND(ISNUMBER($G34),$J34=""),IF($G34&gt;=PREDVOLBY!$C$26,PREDVOLBY!$C$25,"-"),"-"))</f>
        <v/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>Víkend</v>
      </c>
      <c r="V34">
        <f t="shared" si="3"/>
        <v>0</v>
      </c>
    </row>
    <row r="35" spans="1:22" ht="15.6" customHeight="1" x14ac:dyDescent="0.25">
      <c r="A35" s="17">
        <f>IF(MONTH(DATE(PREDVOLBY!$C$8,8,30))=8,DATE(PREDVOLBY!$C$8,8,30),"")</f>
        <v>46629</v>
      </c>
      <c r="B35" s="18" t="str">
        <f t="shared" si="0"/>
        <v>po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>
        <f>IF(MONTH(DATE(PREDVOLBY!$C$8,8,31))=8,DATE(PREDVOLBY!$C$8,8,31),"")</f>
        <v>46630</v>
      </c>
      <c r="B36" s="18" t="str">
        <f t="shared" si="0"/>
        <v>út</v>
      </c>
      <c r="C36" s="19">
        <f>IF(OR($A36="",$U36="Víkend"),"",IF($V36&gt;=1,"-",PREDVOLBY!$C$18))</f>
        <v>0.3125</v>
      </c>
      <c r="D36" s="19">
        <f>IF(OR($A36="",$U36="Víkend"),"",IF($V36&gt;=1,"-",PREDVOLBY!$C$19))</f>
        <v>0.47916666666666669</v>
      </c>
      <c r="E36" s="19">
        <f>IF(OR($A36="",$U36="Víkend"),"",IF($V36&gt;=0.5,"-",PREDVOLBY!$C$20))</f>
        <v>0.5</v>
      </c>
      <c r="F36" s="19">
        <f>IF(OR($A36="",$U36="Víkend"),"",IF($V36&gt;=0.5,"-",PREDVOLBY!$C$21))</f>
        <v>0.66666666666666663</v>
      </c>
      <c r="G36" s="20">
        <f t="shared" si="1"/>
        <v>8</v>
      </c>
      <c r="H36" s="20">
        <f>IF($G36="","",IF(ISNUMBER($G36),MAX(0,ROUND($G36-PREDVOLBY!$C$22*(1-$V36),2)),"-"))</f>
        <v>0</v>
      </c>
      <c r="I36" s="21">
        <f>IF($G36="","",IF(AND(ISNUMBER($G36),$J36=""),IF($G36&gt;=PREDVOLBY!$C$26,PREDVOLBY!$C$25,"-"),"-"))</f>
        <v>129.5</v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176</v>
      </c>
      <c r="H37" s="25">
        <f>SUM(H6:H36)</f>
        <v>0</v>
      </c>
      <c r="I37" s="26">
        <f>SUM(I6:I36)</f>
        <v>2849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0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22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"&amp;SUM('01_2027'!$K$37,'02_2027'!$K$37,'03_2027'!$K$37,'04_2027'!$K$37,'05_2027'!$K$37,'06_2027'!$K$37,'07_2027'!$K$37,'08_2027'!$K$37)&amp;" / "&amp;PREDVOLBY!$C$13&amp;" dní (zbývá "&amp;(PREDVOLBY!$C$13-SUM('01_2027'!$K$37,'02_2027'!$K$37,'03_2027'!$K$37,'04_2027'!$K$37,'05_2027'!$K$37,'06_2027'!$K$37,'07_2027'!$K$37,'08_2027'!$K$37))&amp;")"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"&amp;SUM('01_2027'!$Q$37,'02_2027'!$Q$37,'03_2027'!$Q$37,'04_2027'!$Q$37,'05_2027'!$Q$37,'06_2027'!$Q$37,'07_2027'!$Q$37,'08_2027'!$Q$37)&amp;"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"&amp;SUM('01_2027'!$R$37,'02_2027'!$R$37,'03_2027'!$R$37,'04_2027'!$R$37,'05_2027'!$R$37,'06_2027'!$R$37,'07_2027'!$R$37,'08_2027'!$R$37)&amp;"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19" priority="1">
      <formula>$U6="Víkend"</formula>
    </cfRule>
    <cfRule type="expression" dxfId="18" priority="2">
      <formula>$U6="Svátek"</formula>
    </cfRule>
  </conditionalFormatting>
  <conditionalFormatting sqref="I3:S3">
    <cfRule type="expression" dxfId="17" priority="4">
      <formula>$I$3="DOPLŇTE ÚDAJE V KARTĚ PŘEDVOLBY"</formula>
    </cfRule>
  </conditionalFormatting>
  <conditionalFormatting sqref="K6:R36">
    <cfRule type="expression" dxfId="16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9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Srpen 2027&amp;R&amp;"Arial,Regular"&amp;8Strana &amp;P z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85041"/>
    <pageSetUpPr fitToPage="1"/>
  </sheetPr>
  <dimension ref="A1:V51"/>
  <sheetViews>
    <sheetView showGridLines="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93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46631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IF(MONTH(DATE(PREDVOLBY!$C$8,9,1))=9,DATE(PREDVOLBY!$C$8,9,1),"")</f>
        <v>46631</v>
      </c>
      <c r="B6" s="18" t="str">
        <f t="shared" ref="B6:B36" si="0">IF($A6="","",CHOOSE(WEEKDAY($A6,2),"po","út","st","čt","pá","so","ne"))</f>
        <v>st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IF(MONTH(DATE(PREDVOLBY!$C$8,9,2))=9,DATE(PREDVOLBY!$C$8,9,2),"")</f>
        <v>46632</v>
      </c>
      <c r="B7" s="18" t="str">
        <f t="shared" si="0"/>
        <v>čt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IF(MONTH(DATE(PREDVOLBY!$C$8,9,3))=9,DATE(PREDVOLBY!$C$8,9,3),"")</f>
        <v>46633</v>
      </c>
      <c r="B8" s="18" t="str">
        <f t="shared" si="0"/>
        <v>pá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IF(MONTH(DATE(PREDVOLBY!$C$8,9,4))=9,DATE(PREDVOLBY!$C$8,9,4),"")</f>
        <v>46634</v>
      </c>
      <c r="B9" s="18" t="str">
        <f t="shared" si="0"/>
        <v>so</v>
      </c>
      <c r="C9" s="19" t="str">
        <f>IF(OR($A9="",$U9="Víkend"),"",IF($V9&gt;=1,"-",PREDVOLBY!$C$18))</f>
        <v/>
      </c>
      <c r="D9" s="19" t="str">
        <f>IF(OR($A9="",$U9="Víkend"),"",IF($V9&gt;=1,"-",PREDVOLBY!$C$19))</f>
        <v/>
      </c>
      <c r="E9" s="19" t="str">
        <f>IF(OR($A9="",$U9="Víkend"),"",IF($V9&gt;=0.5,"-",PREDVOLBY!$C$20))</f>
        <v/>
      </c>
      <c r="F9" s="19" t="str">
        <f>IF(OR($A9="",$U9="Víkend"),"",IF($V9&gt;=0.5,"-",PREDVOLBY!$C$21))</f>
        <v/>
      </c>
      <c r="G9" s="20" t="str">
        <f t="shared" si="1"/>
        <v/>
      </c>
      <c r="H9" s="20" t="str">
        <f>IF($G9="","",IF(ISNUMBER($G9),MAX(0,ROUND($G9-PREDVOLBY!$C$22*(1-$V9),2)),"-"))</f>
        <v/>
      </c>
      <c r="I9" s="21" t="str">
        <f>IF($G9="","",IF(AND(ISNUMBER($G9),$J9=""),IF($G9&gt;=PREDVOLBY!$C$26,PREDVOLBY!$C$25,"-"),"-"))</f>
        <v/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>Víkend</v>
      </c>
      <c r="V9">
        <f t="shared" si="3"/>
        <v>0</v>
      </c>
    </row>
    <row r="10" spans="1:22" ht="15.6" customHeight="1" x14ac:dyDescent="0.25">
      <c r="A10" s="17">
        <f>IF(MONTH(DATE(PREDVOLBY!$C$8,9,5))=9,DATE(PREDVOLBY!$C$8,9,5),"")</f>
        <v>46635</v>
      </c>
      <c r="B10" s="18" t="str">
        <f t="shared" si="0"/>
        <v>ne</v>
      </c>
      <c r="C10" s="19" t="str">
        <f>IF(OR($A10="",$U10="Víkend"),"",IF($V10&gt;=1,"-",PREDVOLBY!$C$18))</f>
        <v/>
      </c>
      <c r="D10" s="19" t="str">
        <f>IF(OR($A10="",$U10="Víkend"),"",IF($V10&gt;=1,"-",PREDVOLBY!$C$19))</f>
        <v/>
      </c>
      <c r="E10" s="19" t="str">
        <f>IF(OR($A10="",$U10="Víkend"),"",IF($V10&gt;=0.5,"-",PREDVOLBY!$C$20))</f>
        <v/>
      </c>
      <c r="F10" s="19" t="str">
        <f>IF(OR($A10="",$U10="Víkend"),"",IF($V10&gt;=0.5,"-",PREDVOLBY!$C$21))</f>
        <v/>
      </c>
      <c r="G10" s="20" t="str">
        <f t="shared" si="1"/>
        <v/>
      </c>
      <c r="H10" s="20" t="str">
        <f>IF($G10="","",IF(ISNUMBER($G10),MAX(0,ROUND($G10-PREDVOLBY!$C$22*(1-$V10),2)),"-"))</f>
        <v/>
      </c>
      <c r="I10" s="21" t="str">
        <f>IF($G10="","",IF(AND(ISNUMBER($G10),$J10=""),IF($G10&gt;=PREDVOLBY!$C$26,PREDVOLBY!$C$25,"-"),"-"))</f>
        <v/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>Víkend</v>
      </c>
      <c r="V10">
        <f t="shared" si="3"/>
        <v>0</v>
      </c>
    </row>
    <row r="11" spans="1:22" ht="15.6" customHeight="1" x14ac:dyDescent="0.25">
      <c r="A11" s="17">
        <f>IF(MONTH(DATE(PREDVOLBY!$C$8,9,6))=9,DATE(PREDVOLBY!$C$8,9,6),"")</f>
        <v>46636</v>
      </c>
      <c r="B11" s="18" t="str">
        <f t="shared" si="0"/>
        <v>po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IF(MONTH(DATE(PREDVOLBY!$C$8,9,7))=9,DATE(PREDVOLBY!$C$8,9,7),"")</f>
        <v>46637</v>
      </c>
      <c r="B12" s="18" t="str">
        <f t="shared" si="0"/>
        <v>út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IF(MONTH(DATE(PREDVOLBY!$C$8,9,8))=9,DATE(PREDVOLBY!$C$8,9,8),"")</f>
        <v>46638</v>
      </c>
      <c r="B13" s="18" t="str">
        <f t="shared" si="0"/>
        <v>st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IF(MONTH(DATE(PREDVOLBY!$C$8,9,9))=9,DATE(PREDVOLBY!$C$8,9,9),"")</f>
        <v>46639</v>
      </c>
      <c r="B14" s="18" t="str">
        <f t="shared" si="0"/>
        <v>čt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IF(MONTH(DATE(PREDVOLBY!$C$8,9,10))=9,DATE(PREDVOLBY!$C$8,9,10),"")</f>
        <v>46640</v>
      </c>
      <c r="B15" s="18" t="str">
        <f t="shared" si="0"/>
        <v>pá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IF(MONTH(DATE(PREDVOLBY!$C$8,9,11))=9,DATE(PREDVOLBY!$C$8,9,11),"")</f>
        <v>46641</v>
      </c>
      <c r="B16" s="18" t="str">
        <f t="shared" si="0"/>
        <v>so</v>
      </c>
      <c r="C16" s="19" t="str">
        <f>IF(OR($A16="",$U16="Víkend"),"",IF($V16&gt;=1,"-",PREDVOLBY!$C$18))</f>
        <v/>
      </c>
      <c r="D16" s="19" t="str">
        <f>IF(OR($A16="",$U16="Víkend"),"",IF($V16&gt;=1,"-",PREDVOLBY!$C$19))</f>
        <v/>
      </c>
      <c r="E16" s="19" t="str">
        <f>IF(OR($A16="",$U16="Víkend"),"",IF($V16&gt;=0.5,"-",PREDVOLBY!$C$20))</f>
        <v/>
      </c>
      <c r="F16" s="19" t="str">
        <f>IF(OR($A16="",$U16="Víkend"),"",IF($V16&gt;=0.5,"-",PREDVOLBY!$C$21))</f>
        <v/>
      </c>
      <c r="G16" s="20" t="str">
        <f t="shared" si="1"/>
        <v/>
      </c>
      <c r="H16" s="20" t="str">
        <f>IF($G16="","",IF(ISNUMBER($G16),MAX(0,ROUND($G16-PREDVOLBY!$C$22*(1-$V16),2)),"-"))</f>
        <v/>
      </c>
      <c r="I16" s="21" t="str">
        <f>IF($G16="","",IF(AND(ISNUMBER($G16),$J16=""),IF($G16&gt;=PREDVOLBY!$C$26,PREDVOLBY!$C$25,"-"),"-"))</f>
        <v/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>Víkend</v>
      </c>
      <c r="V16">
        <f t="shared" si="3"/>
        <v>0</v>
      </c>
    </row>
    <row r="17" spans="1:22" ht="15.6" customHeight="1" x14ac:dyDescent="0.25">
      <c r="A17" s="17">
        <f>IF(MONTH(DATE(PREDVOLBY!$C$8,9,12))=9,DATE(PREDVOLBY!$C$8,9,12),"")</f>
        <v>46642</v>
      </c>
      <c r="B17" s="18" t="str">
        <f t="shared" si="0"/>
        <v>ne</v>
      </c>
      <c r="C17" s="19" t="str">
        <f>IF(OR($A17="",$U17="Víkend"),"",IF($V17&gt;=1,"-",PREDVOLBY!$C$18))</f>
        <v/>
      </c>
      <c r="D17" s="19" t="str">
        <f>IF(OR($A17="",$U17="Víkend"),"",IF($V17&gt;=1,"-",PREDVOLBY!$C$19))</f>
        <v/>
      </c>
      <c r="E17" s="19" t="str">
        <f>IF(OR($A17="",$U17="Víkend"),"",IF($V17&gt;=0.5,"-",PREDVOLBY!$C$20))</f>
        <v/>
      </c>
      <c r="F17" s="19" t="str">
        <f>IF(OR($A17="",$U17="Víkend"),"",IF($V17&gt;=0.5,"-",PREDVOLBY!$C$21))</f>
        <v/>
      </c>
      <c r="G17" s="20" t="str">
        <f t="shared" si="1"/>
        <v/>
      </c>
      <c r="H17" s="20" t="str">
        <f>IF($G17="","",IF(ISNUMBER($G17),MAX(0,ROUND($G17-PREDVOLBY!$C$22*(1-$V17),2)),"-"))</f>
        <v/>
      </c>
      <c r="I17" s="21" t="str">
        <f>IF($G17="","",IF(AND(ISNUMBER($G17),$J17=""),IF($G17&gt;=PREDVOLBY!$C$26,PREDVOLBY!$C$25,"-"),"-"))</f>
        <v/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>Víkend</v>
      </c>
      <c r="V17">
        <f t="shared" si="3"/>
        <v>0</v>
      </c>
    </row>
    <row r="18" spans="1:22" ht="15.6" customHeight="1" x14ac:dyDescent="0.25">
      <c r="A18" s="17">
        <f>IF(MONTH(DATE(PREDVOLBY!$C$8,9,13))=9,DATE(PREDVOLBY!$C$8,9,13),"")</f>
        <v>46643</v>
      </c>
      <c r="B18" s="18" t="str">
        <f t="shared" si="0"/>
        <v>po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IF(MONTH(DATE(PREDVOLBY!$C$8,9,14))=9,DATE(PREDVOLBY!$C$8,9,14),"")</f>
        <v>46644</v>
      </c>
      <c r="B19" s="18" t="str">
        <f t="shared" si="0"/>
        <v>út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IF(MONTH(DATE(PREDVOLBY!$C$8,9,15))=9,DATE(PREDVOLBY!$C$8,9,15),"")</f>
        <v>46645</v>
      </c>
      <c r="B20" s="18" t="str">
        <f t="shared" si="0"/>
        <v>st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IF(MONTH(DATE(PREDVOLBY!$C$8,9,16))=9,DATE(PREDVOLBY!$C$8,9,16),"")</f>
        <v>46646</v>
      </c>
      <c r="B21" s="18" t="str">
        <f t="shared" si="0"/>
        <v>čt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IF(MONTH(DATE(PREDVOLBY!$C$8,9,17))=9,DATE(PREDVOLBY!$C$8,9,17),"")</f>
        <v>46647</v>
      </c>
      <c r="B22" s="18" t="str">
        <f t="shared" si="0"/>
        <v>pá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IF(MONTH(DATE(PREDVOLBY!$C$8,9,18))=9,DATE(PREDVOLBY!$C$8,9,18),"")</f>
        <v>46648</v>
      </c>
      <c r="B23" s="18" t="str">
        <f t="shared" si="0"/>
        <v>so</v>
      </c>
      <c r="C23" s="19" t="str">
        <f>IF(OR($A23="",$U23="Víkend"),"",IF($V23&gt;=1,"-",PREDVOLBY!$C$18))</f>
        <v/>
      </c>
      <c r="D23" s="19" t="str">
        <f>IF(OR($A23="",$U23="Víkend"),"",IF($V23&gt;=1,"-",PREDVOLBY!$C$19))</f>
        <v/>
      </c>
      <c r="E23" s="19" t="str">
        <f>IF(OR($A23="",$U23="Víkend"),"",IF($V23&gt;=0.5,"-",PREDVOLBY!$C$20))</f>
        <v/>
      </c>
      <c r="F23" s="19" t="str">
        <f>IF(OR($A23="",$U23="Víkend"),"",IF($V23&gt;=0.5,"-",PREDVOLBY!$C$21))</f>
        <v/>
      </c>
      <c r="G23" s="20" t="str">
        <f t="shared" si="1"/>
        <v/>
      </c>
      <c r="H23" s="20" t="str">
        <f>IF($G23="","",IF(ISNUMBER($G23),MAX(0,ROUND($G23-PREDVOLBY!$C$22*(1-$V23),2)),"-"))</f>
        <v/>
      </c>
      <c r="I23" s="21" t="str">
        <f>IF($G23="","",IF(AND(ISNUMBER($G23),$J23=""),IF($G23&gt;=PREDVOLBY!$C$26,PREDVOLBY!$C$25,"-"),"-"))</f>
        <v/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>Víkend</v>
      </c>
      <c r="V23">
        <f t="shared" si="3"/>
        <v>0</v>
      </c>
    </row>
    <row r="24" spans="1:22" ht="15.6" customHeight="1" x14ac:dyDescent="0.25">
      <c r="A24" s="17">
        <f>IF(MONTH(DATE(PREDVOLBY!$C$8,9,19))=9,DATE(PREDVOLBY!$C$8,9,19),"")</f>
        <v>46649</v>
      </c>
      <c r="B24" s="18" t="str">
        <f t="shared" si="0"/>
        <v>ne</v>
      </c>
      <c r="C24" s="19" t="str">
        <f>IF(OR($A24="",$U24="Víkend"),"",IF($V24&gt;=1,"-",PREDVOLBY!$C$18))</f>
        <v/>
      </c>
      <c r="D24" s="19" t="str">
        <f>IF(OR($A24="",$U24="Víkend"),"",IF($V24&gt;=1,"-",PREDVOLBY!$C$19))</f>
        <v/>
      </c>
      <c r="E24" s="19" t="str">
        <f>IF(OR($A24="",$U24="Víkend"),"",IF($V24&gt;=0.5,"-",PREDVOLBY!$C$20))</f>
        <v/>
      </c>
      <c r="F24" s="19" t="str">
        <f>IF(OR($A24="",$U24="Víkend"),"",IF($V24&gt;=0.5,"-",PREDVOLBY!$C$21))</f>
        <v/>
      </c>
      <c r="G24" s="20" t="str">
        <f t="shared" si="1"/>
        <v/>
      </c>
      <c r="H24" s="20" t="str">
        <f>IF($G24="","",IF(ISNUMBER($G24),MAX(0,ROUND($G24-PREDVOLBY!$C$22*(1-$V24),2)),"-"))</f>
        <v/>
      </c>
      <c r="I24" s="21" t="str">
        <f>IF($G24="","",IF(AND(ISNUMBER($G24),$J24=""),IF($G24&gt;=PREDVOLBY!$C$26,PREDVOLBY!$C$25,"-"),"-"))</f>
        <v/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>Víkend</v>
      </c>
      <c r="V24">
        <f t="shared" si="3"/>
        <v>0</v>
      </c>
    </row>
    <row r="25" spans="1:22" ht="15.6" customHeight="1" x14ac:dyDescent="0.25">
      <c r="A25" s="17">
        <f>IF(MONTH(DATE(PREDVOLBY!$C$8,9,20))=9,DATE(PREDVOLBY!$C$8,9,20),"")</f>
        <v>46650</v>
      </c>
      <c r="B25" s="18" t="str">
        <f t="shared" si="0"/>
        <v>po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IF(MONTH(DATE(PREDVOLBY!$C$8,9,21))=9,DATE(PREDVOLBY!$C$8,9,21),"")</f>
        <v>46651</v>
      </c>
      <c r="B26" s="18" t="str">
        <f t="shared" si="0"/>
        <v>út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IF(MONTH(DATE(PREDVOLBY!$C$8,9,22))=9,DATE(PREDVOLBY!$C$8,9,22),"")</f>
        <v>46652</v>
      </c>
      <c r="B27" s="18" t="str">
        <f t="shared" si="0"/>
        <v>st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IF(MONTH(DATE(PREDVOLBY!$C$8,9,23))=9,DATE(PREDVOLBY!$C$8,9,23),"")</f>
        <v>46653</v>
      </c>
      <c r="B28" s="18" t="str">
        <f t="shared" si="0"/>
        <v>čt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IF(MONTH(DATE(PREDVOLBY!$C$8,9,24))=9,DATE(PREDVOLBY!$C$8,9,24),"")</f>
        <v>46654</v>
      </c>
      <c r="B29" s="18" t="str">
        <f t="shared" si="0"/>
        <v>pá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IF(MONTH(DATE(PREDVOLBY!$C$8,9,25))=9,DATE(PREDVOLBY!$C$8,9,25),"")</f>
        <v>46655</v>
      </c>
      <c r="B30" s="18" t="str">
        <f t="shared" si="0"/>
        <v>so</v>
      </c>
      <c r="C30" s="19" t="str">
        <f>IF(OR($A30="",$U30="Víkend"),"",IF($V30&gt;=1,"-",PREDVOLBY!$C$18))</f>
        <v/>
      </c>
      <c r="D30" s="19" t="str">
        <f>IF(OR($A30="",$U30="Víkend"),"",IF($V30&gt;=1,"-",PREDVOLBY!$C$19))</f>
        <v/>
      </c>
      <c r="E30" s="19" t="str">
        <f>IF(OR($A30="",$U30="Víkend"),"",IF($V30&gt;=0.5,"-",PREDVOLBY!$C$20))</f>
        <v/>
      </c>
      <c r="F30" s="19" t="str">
        <f>IF(OR($A30="",$U30="Víkend"),"",IF($V30&gt;=0.5,"-",PREDVOLBY!$C$21))</f>
        <v/>
      </c>
      <c r="G30" s="20" t="str">
        <f t="shared" si="1"/>
        <v/>
      </c>
      <c r="H30" s="20" t="str">
        <f>IF($G30="","",IF(ISNUMBER($G30),MAX(0,ROUND($G30-PREDVOLBY!$C$22*(1-$V30),2)),"-"))</f>
        <v/>
      </c>
      <c r="I30" s="21" t="str">
        <f>IF($G30="","",IF(AND(ISNUMBER($G30),$J30=""),IF($G30&gt;=PREDVOLBY!$C$26,PREDVOLBY!$C$25,"-"),"-"))</f>
        <v/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>Víkend</v>
      </c>
      <c r="V30">
        <f t="shared" si="3"/>
        <v>0</v>
      </c>
    </row>
    <row r="31" spans="1:22" ht="15.6" customHeight="1" x14ac:dyDescent="0.25">
      <c r="A31" s="17">
        <f>IF(MONTH(DATE(PREDVOLBY!$C$8,9,26))=9,DATE(PREDVOLBY!$C$8,9,26),"")</f>
        <v>46656</v>
      </c>
      <c r="B31" s="18" t="str">
        <f t="shared" si="0"/>
        <v>ne</v>
      </c>
      <c r="C31" s="19" t="str">
        <f>IF(OR($A31="",$U31="Víkend"),"",IF($V31&gt;=1,"-",PREDVOLBY!$C$18))</f>
        <v/>
      </c>
      <c r="D31" s="19" t="str">
        <f>IF(OR($A31="",$U31="Víkend"),"",IF($V31&gt;=1,"-",PREDVOLBY!$C$19))</f>
        <v/>
      </c>
      <c r="E31" s="19" t="str">
        <f>IF(OR($A31="",$U31="Víkend"),"",IF($V31&gt;=0.5,"-",PREDVOLBY!$C$20))</f>
        <v/>
      </c>
      <c r="F31" s="19" t="str">
        <f>IF(OR($A31="",$U31="Víkend"),"",IF($V31&gt;=0.5,"-",PREDVOLBY!$C$21))</f>
        <v/>
      </c>
      <c r="G31" s="20" t="str">
        <f t="shared" si="1"/>
        <v/>
      </c>
      <c r="H31" s="20" t="str">
        <f>IF($G31="","",IF(ISNUMBER($G31),MAX(0,ROUND($G31-PREDVOLBY!$C$22*(1-$V31),2)),"-"))</f>
        <v/>
      </c>
      <c r="I31" s="21" t="str">
        <f>IF($G31="","",IF(AND(ISNUMBER($G31),$J31=""),IF($G31&gt;=PREDVOLBY!$C$26,PREDVOLBY!$C$25,"-"),"-"))</f>
        <v/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>Víkend</v>
      </c>
      <c r="V31">
        <f t="shared" si="3"/>
        <v>0</v>
      </c>
    </row>
    <row r="32" spans="1:22" ht="15.6" customHeight="1" x14ac:dyDescent="0.25">
      <c r="A32" s="17">
        <f>IF(MONTH(DATE(PREDVOLBY!$C$8,9,27))=9,DATE(PREDVOLBY!$C$8,9,27),"")</f>
        <v>46657</v>
      </c>
      <c r="B32" s="18" t="str">
        <f t="shared" si="0"/>
        <v>po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IF(MONTH(DATE(PREDVOLBY!$C$8,9,28))=9,DATE(PREDVOLBY!$C$8,9,28),"")</f>
        <v>46658</v>
      </c>
      <c r="B33" s="18" t="str">
        <f t="shared" si="0"/>
        <v>út</v>
      </c>
      <c r="C33" s="19" t="str">
        <f>IF(OR($A33="",$U33="Víkend"),"",IF($V33&gt;=1,"-",PREDVOLBY!$C$18))</f>
        <v>-</v>
      </c>
      <c r="D33" s="19" t="str">
        <f>IF(OR($A33="",$U33="Víkend"),"",IF($V33&gt;=1,"-",PREDVOLBY!$C$19))</f>
        <v>-</v>
      </c>
      <c r="E33" s="19" t="str">
        <f>IF(OR($A33="",$U33="Víkend"),"",IF($V33&gt;=0.5,"-",PREDVOLBY!$C$20))</f>
        <v>-</v>
      </c>
      <c r="F33" s="19" t="str">
        <f>IF(OR($A33="",$U33="Víkend"),"",IF($V33&gt;=0.5,"-",PREDVOLBY!$C$21))</f>
        <v>-</v>
      </c>
      <c r="G33" s="20" t="str">
        <f t="shared" si="1"/>
        <v>-</v>
      </c>
      <c r="H33" s="20" t="str">
        <f>IF($G33="","",IF(ISNUMBER($G33),MAX(0,ROUND($G33-PREDVOLBY!$C$22*(1-$V33),2)),"-"))</f>
        <v>-</v>
      </c>
      <c r="I33" s="21" t="str">
        <f>IF($G33="","",IF(AND(ISNUMBER($G33),$J33=""),IF($G33&gt;=PREDVOLBY!$C$26,PREDVOLBY!$C$25,"-"),"-"))</f>
        <v>-</v>
      </c>
      <c r="J33" s="18"/>
      <c r="K33" s="18"/>
      <c r="L33" s="18"/>
      <c r="M33" s="18">
        <f t="shared" si="2"/>
        <v>1</v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>Den české státnosti</v>
      </c>
      <c r="U33" t="str">
        <f>IF($A33="","",IF(WEEKDAY($A33,2)&gt;5,"Víkend",IF(COUNTIF(SVATKY_2027!$B$5:$B$22,$A33)&gt;0,"Svátek","")))</f>
        <v>Svátek</v>
      </c>
      <c r="V33">
        <f t="shared" si="3"/>
        <v>1</v>
      </c>
    </row>
    <row r="34" spans="1:22" ht="15.6" customHeight="1" x14ac:dyDescent="0.25">
      <c r="A34" s="17">
        <f>IF(MONTH(DATE(PREDVOLBY!$C$8,9,29))=9,DATE(PREDVOLBY!$C$8,9,29),"")</f>
        <v>46659</v>
      </c>
      <c r="B34" s="18" t="str">
        <f t="shared" si="0"/>
        <v>st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IF(MONTH(DATE(PREDVOLBY!$C$8,9,30))=9,DATE(PREDVOLBY!$C$8,9,30),"")</f>
        <v>46660</v>
      </c>
      <c r="B35" s="18" t="str">
        <f t="shared" si="0"/>
        <v>čt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 t="str">
        <f>IF(MONTH(DATE(PREDVOLBY!$C$8,9,31))=9,DATE(PREDVOLBY!$C$8,9,31),"")</f>
        <v/>
      </c>
      <c r="B36" s="18" t="str">
        <f t="shared" si="0"/>
        <v/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168</v>
      </c>
      <c r="H37" s="25">
        <f>SUM(H6:H36)</f>
        <v>0</v>
      </c>
      <c r="I37" s="26">
        <f>SUM(I6:I36)</f>
        <v>2719.5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1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21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"&amp;SUM('01_2027'!$K$37,'02_2027'!$K$37,'03_2027'!$K$37,'04_2027'!$K$37,'05_2027'!$K$37,'06_2027'!$K$37,'07_2027'!$K$37,'08_2027'!$K$37,'09_2027'!$K$37)&amp;" / "&amp;PREDVOLBY!$C$13&amp;" dní (zbývá "&amp;(PREDVOLBY!$C$13-SUM('01_2027'!$K$37,'02_2027'!$K$37,'03_2027'!$K$37,'04_2027'!$K$37,'05_2027'!$K$37,'06_2027'!$K$37,'07_2027'!$K$37,'08_2027'!$K$37,'09_2027'!$K$37))&amp;")"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"&amp;SUM('01_2027'!$Q$37,'02_2027'!$Q$37,'03_2027'!$Q$37,'04_2027'!$Q$37,'05_2027'!$Q$37,'06_2027'!$Q$37,'07_2027'!$Q$37,'08_2027'!$Q$37,'09_2027'!$Q$37)&amp;"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"&amp;SUM('01_2027'!$R$37,'02_2027'!$R$37,'03_2027'!$R$37,'04_2027'!$R$37,'05_2027'!$R$37,'06_2027'!$R$37,'07_2027'!$R$37,'08_2027'!$R$37,'09_2027'!$R$37)&amp;"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15" priority="1">
      <formula>$U6="Víkend"</formula>
    </cfRule>
    <cfRule type="expression" dxfId="14" priority="2">
      <formula>$U6="Svátek"</formula>
    </cfRule>
  </conditionalFormatting>
  <conditionalFormatting sqref="I3:S3">
    <cfRule type="expression" dxfId="13" priority="4">
      <formula>$I$3="DOPLŇTE ÚDAJE V KARTĚ PŘEDVOLBY"</formula>
    </cfRule>
  </conditionalFormatting>
  <conditionalFormatting sqref="K6:R36">
    <cfRule type="expression" dxfId="12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A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Září 2027&amp;R&amp;"Arial,Regular"&amp;8Strana &amp;P z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9D7C"/>
    <pageSetUpPr fitToPage="1"/>
  </sheetPr>
  <dimension ref="A1:V5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94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46661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IF(MONTH(DATE(PREDVOLBY!$C$8,10,1))=10,DATE(PREDVOLBY!$C$8,10,1),"")</f>
        <v>46661</v>
      </c>
      <c r="B6" s="18" t="str">
        <f t="shared" ref="B6:B36" si="0">IF($A6="","",CHOOSE(WEEKDAY($A6,2),"po","út","st","čt","pá","so","ne"))</f>
        <v>pá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IF(MONTH(DATE(PREDVOLBY!$C$8,10,2))=10,DATE(PREDVOLBY!$C$8,10,2),"")</f>
        <v>46662</v>
      </c>
      <c r="B7" s="18" t="str">
        <f t="shared" si="0"/>
        <v>so</v>
      </c>
      <c r="C7" s="19" t="str">
        <f>IF(OR($A7="",$U7="Víkend"),"",IF($V7&gt;=1,"-",PREDVOLBY!$C$18))</f>
        <v/>
      </c>
      <c r="D7" s="19" t="str">
        <f>IF(OR($A7="",$U7="Víkend"),"",IF($V7&gt;=1,"-",PREDVOLBY!$C$19))</f>
        <v/>
      </c>
      <c r="E7" s="19" t="str">
        <f>IF(OR($A7="",$U7="Víkend"),"",IF($V7&gt;=0.5,"-",PREDVOLBY!$C$20))</f>
        <v/>
      </c>
      <c r="F7" s="19" t="str">
        <f>IF(OR($A7="",$U7="Víkend"),"",IF($V7&gt;=0.5,"-",PREDVOLBY!$C$21))</f>
        <v/>
      </c>
      <c r="G7" s="20" t="str">
        <f t="shared" si="1"/>
        <v/>
      </c>
      <c r="H7" s="20" t="str">
        <f>IF($G7="","",IF(ISNUMBER($G7),MAX(0,ROUND($G7-PREDVOLBY!$C$22*(1-$V7),2)),"-"))</f>
        <v/>
      </c>
      <c r="I7" s="21" t="str">
        <f>IF($G7="","",IF(AND(ISNUMBER($G7),$J7=""),IF($G7&gt;=PREDVOLBY!$C$26,PREDVOLBY!$C$25,"-"),"-"))</f>
        <v/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>Víkend</v>
      </c>
      <c r="V7">
        <f t="shared" si="3"/>
        <v>0</v>
      </c>
    </row>
    <row r="8" spans="1:22" ht="15.6" customHeight="1" x14ac:dyDescent="0.25">
      <c r="A8" s="17">
        <f>IF(MONTH(DATE(PREDVOLBY!$C$8,10,3))=10,DATE(PREDVOLBY!$C$8,10,3),"")</f>
        <v>46663</v>
      </c>
      <c r="B8" s="18" t="str">
        <f t="shared" si="0"/>
        <v>ne</v>
      </c>
      <c r="C8" s="19" t="str">
        <f>IF(OR($A8="",$U8="Víkend"),"",IF($V8&gt;=1,"-",PREDVOLBY!$C$18))</f>
        <v/>
      </c>
      <c r="D8" s="19" t="str">
        <f>IF(OR($A8="",$U8="Víkend"),"",IF($V8&gt;=1,"-",PREDVOLBY!$C$19))</f>
        <v/>
      </c>
      <c r="E8" s="19" t="str">
        <f>IF(OR($A8="",$U8="Víkend"),"",IF($V8&gt;=0.5,"-",PREDVOLBY!$C$20))</f>
        <v/>
      </c>
      <c r="F8" s="19" t="str">
        <f>IF(OR($A8="",$U8="Víkend"),"",IF($V8&gt;=0.5,"-",PREDVOLBY!$C$21))</f>
        <v/>
      </c>
      <c r="G8" s="20" t="str">
        <f t="shared" si="1"/>
        <v/>
      </c>
      <c r="H8" s="20" t="str">
        <f>IF($G8="","",IF(ISNUMBER($G8),MAX(0,ROUND($G8-PREDVOLBY!$C$22*(1-$V8),2)),"-"))</f>
        <v/>
      </c>
      <c r="I8" s="21" t="str">
        <f>IF($G8="","",IF(AND(ISNUMBER($G8),$J8=""),IF($G8&gt;=PREDVOLBY!$C$26,PREDVOLBY!$C$25,"-"),"-"))</f>
        <v/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>Víkend</v>
      </c>
      <c r="V8">
        <f t="shared" si="3"/>
        <v>0</v>
      </c>
    </row>
    <row r="9" spans="1:22" ht="15.6" customHeight="1" x14ac:dyDescent="0.25">
      <c r="A9" s="17">
        <f>IF(MONTH(DATE(PREDVOLBY!$C$8,10,4))=10,DATE(PREDVOLBY!$C$8,10,4),"")</f>
        <v>46664</v>
      </c>
      <c r="B9" s="18" t="str">
        <f t="shared" si="0"/>
        <v>po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IF(MONTH(DATE(PREDVOLBY!$C$8,10,5))=10,DATE(PREDVOLBY!$C$8,10,5),"")</f>
        <v>46665</v>
      </c>
      <c r="B10" s="18" t="str">
        <f t="shared" si="0"/>
        <v>út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IF(MONTH(DATE(PREDVOLBY!$C$8,10,6))=10,DATE(PREDVOLBY!$C$8,10,6),"")</f>
        <v>46666</v>
      </c>
      <c r="B11" s="18" t="str">
        <f t="shared" si="0"/>
        <v>st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IF(MONTH(DATE(PREDVOLBY!$C$8,10,7))=10,DATE(PREDVOLBY!$C$8,10,7),"")</f>
        <v>46667</v>
      </c>
      <c r="B12" s="18" t="str">
        <f t="shared" si="0"/>
        <v>čt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IF(MONTH(DATE(PREDVOLBY!$C$8,10,8))=10,DATE(PREDVOLBY!$C$8,10,8),"")</f>
        <v>46668</v>
      </c>
      <c r="B13" s="18" t="str">
        <f t="shared" si="0"/>
        <v>pá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IF(MONTH(DATE(PREDVOLBY!$C$8,10,9))=10,DATE(PREDVOLBY!$C$8,10,9),"")</f>
        <v>46669</v>
      </c>
      <c r="B14" s="18" t="str">
        <f t="shared" si="0"/>
        <v>so</v>
      </c>
      <c r="C14" s="19" t="str">
        <f>IF(OR($A14="",$U14="Víkend"),"",IF($V14&gt;=1,"-",PREDVOLBY!$C$18))</f>
        <v/>
      </c>
      <c r="D14" s="19" t="str">
        <f>IF(OR($A14="",$U14="Víkend"),"",IF($V14&gt;=1,"-",PREDVOLBY!$C$19))</f>
        <v/>
      </c>
      <c r="E14" s="19" t="str">
        <f>IF(OR($A14="",$U14="Víkend"),"",IF($V14&gt;=0.5,"-",PREDVOLBY!$C$20))</f>
        <v/>
      </c>
      <c r="F14" s="19" t="str">
        <f>IF(OR($A14="",$U14="Víkend"),"",IF($V14&gt;=0.5,"-",PREDVOLBY!$C$21))</f>
        <v/>
      </c>
      <c r="G14" s="20" t="str">
        <f t="shared" si="1"/>
        <v/>
      </c>
      <c r="H14" s="20" t="str">
        <f>IF($G14="","",IF(ISNUMBER($G14),MAX(0,ROUND($G14-PREDVOLBY!$C$22*(1-$V14),2)),"-"))</f>
        <v/>
      </c>
      <c r="I14" s="21" t="str">
        <f>IF($G14="","",IF(AND(ISNUMBER($G14),$J14=""),IF($G14&gt;=PREDVOLBY!$C$26,PREDVOLBY!$C$25,"-"),"-"))</f>
        <v/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>Víkend</v>
      </c>
      <c r="V14">
        <f t="shared" si="3"/>
        <v>0</v>
      </c>
    </row>
    <row r="15" spans="1:22" ht="15.6" customHeight="1" x14ac:dyDescent="0.25">
      <c r="A15" s="17">
        <f>IF(MONTH(DATE(PREDVOLBY!$C$8,10,10))=10,DATE(PREDVOLBY!$C$8,10,10),"")</f>
        <v>46670</v>
      </c>
      <c r="B15" s="18" t="str">
        <f t="shared" si="0"/>
        <v>ne</v>
      </c>
      <c r="C15" s="19" t="str">
        <f>IF(OR($A15="",$U15="Víkend"),"",IF($V15&gt;=1,"-",PREDVOLBY!$C$18))</f>
        <v/>
      </c>
      <c r="D15" s="19" t="str">
        <f>IF(OR($A15="",$U15="Víkend"),"",IF($V15&gt;=1,"-",PREDVOLBY!$C$19))</f>
        <v/>
      </c>
      <c r="E15" s="19" t="str">
        <f>IF(OR($A15="",$U15="Víkend"),"",IF($V15&gt;=0.5,"-",PREDVOLBY!$C$20))</f>
        <v/>
      </c>
      <c r="F15" s="19" t="str">
        <f>IF(OR($A15="",$U15="Víkend"),"",IF($V15&gt;=0.5,"-",PREDVOLBY!$C$21))</f>
        <v/>
      </c>
      <c r="G15" s="20" t="str">
        <f t="shared" si="1"/>
        <v/>
      </c>
      <c r="H15" s="20" t="str">
        <f>IF($G15="","",IF(ISNUMBER($G15),MAX(0,ROUND($G15-PREDVOLBY!$C$22*(1-$V15),2)),"-"))</f>
        <v/>
      </c>
      <c r="I15" s="21" t="str">
        <f>IF($G15="","",IF(AND(ISNUMBER($G15),$J15=""),IF($G15&gt;=PREDVOLBY!$C$26,PREDVOLBY!$C$25,"-"),"-"))</f>
        <v/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>Víkend</v>
      </c>
      <c r="V15">
        <f t="shared" si="3"/>
        <v>0</v>
      </c>
    </row>
    <row r="16" spans="1:22" ht="15.6" customHeight="1" x14ac:dyDescent="0.25">
      <c r="A16" s="17">
        <f>IF(MONTH(DATE(PREDVOLBY!$C$8,10,11))=10,DATE(PREDVOLBY!$C$8,10,11),"")</f>
        <v>46671</v>
      </c>
      <c r="B16" s="18" t="str">
        <f t="shared" si="0"/>
        <v>po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IF(MONTH(DATE(PREDVOLBY!$C$8,10,12))=10,DATE(PREDVOLBY!$C$8,10,12),"")</f>
        <v>46672</v>
      </c>
      <c r="B17" s="18" t="str">
        <f t="shared" si="0"/>
        <v>út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IF(MONTH(DATE(PREDVOLBY!$C$8,10,13))=10,DATE(PREDVOLBY!$C$8,10,13),"")</f>
        <v>46673</v>
      </c>
      <c r="B18" s="18" t="str">
        <f t="shared" si="0"/>
        <v>st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IF(MONTH(DATE(PREDVOLBY!$C$8,10,14))=10,DATE(PREDVOLBY!$C$8,10,14),"")</f>
        <v>46674</v>
      </c>
      <c r="B19" s="18" t="str">
        <f t="shared" si="0"/>
        <v>čt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IF(MONTH(DATE(PREDVOLBY!$C$8,10,15))=10,DATE(PREDVOLBY!$C$8,10,15),"")</f>
        <v>46675</v>
      </c>
      <c r="B20" s="18" t="str">
        <f t="shared" si="0"/>
        <v>pá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IF(MONTH(DATE(PREDVOLBY!$C$8,10,16))=10,DATE(PREDVOLBY!$C$8,10,16),"")</f>
        <v>46676</v>
      </c>
      <c r="B21" s="18" t="str">
        <f t="shared" si="0"/>
        <v>so</v>
      </c>
      <c r="C21" s="19" t="str">
        <f>IF(OR($A21="",$U21="Víkend"),"",IF($V21&gt;=1,"-",PREDVOLBY!$C$18))</f>
        <v/>
      </c>
      <c r="D21" s="19" t="str">
        <f>IF(OR($A21="",$U21="Víkend"),"",IF($V21&gt;=1,"-",PREDVOLBY!$C$19))</f>
        <v/>
      </c>
      <c r="E21" s="19" t="str">
        <f>IF(OR($A21="",$U21="Víkend"),"",IF($V21&gt;=0.5,"-",PREDVOLBY!$C$20))</f>
        <v/>
      </c>
      <c r="F21" s="19" t="str">
        <f>IF(OR($A21="",$U21="Víkend"),"",IF($V21&gt;=0.5,"-",PREDVOLBY!$C$21))</f>
        <v/>
      </c>
      <c r="G21" s="20" t="str">
        <f t="shared" si="1"/>
        <v/>
      </c>
      <c r="H21" s="20" t="str">
        <f>IF($G21="","",IF(ISNUMBER($G21),MAX(0,ROUND($G21-PREDVOLBY!$C$22*(1-$V21),2)),"-"))</f>
        <v/>
      </c>
      <c r="I21" s="21" t="str">
        <f>IF($G21="","",IF(AND(ISNUMBER($G21),$J21=""),IF($G21&gt;=PREDVOLBY!$C$26,PREDVOLBY!$C$25,"-"),"-"))</f>
        <v/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>Víkend</v>
      </c>
      <c r="V21">
        <f t="shared" si="3"/>
        <v>0</v>
      </c>
    </row>
    <row r="22" spans="1:22" ht="15.6" customHeight="1" x14ac:dyDescent="0.25">
      <c r="A22" s="17">
        <f>IF(MONTH(DATE(PREDVOLBY!$C$8,10,17))=10,DATE(PREDVOLBY!$C$8,10,17),"")</f>
        <v>46677</v>
      </c>
      <c r="B22" s="18" t="str">
        <f t="shared" si="0"/>
        <v>ne</v>
      </c>
      <c r="C22" s="19" t="str">
        <f>IF(OR($A22="",$U22="Víkend"),"",IF($V22&gt;=1,"-",PREDVOLBY!$C$18))</f>
        <v/>
      </c>
      <c r="D22" s="19" t="str">
        <f>IF(OR($A22="",$U22="Víkend"),"",IF($V22&gt;=1,"-",PREDVOLBY!$C$19))</f>
        <v/>
      </c>
      <c r="E22" s="19" t="str">
        <f>IF(OR($A22="",$U22="Víkend"),"",IF($V22&gt;=0.5,"-",PREDVOLBY!$C$20))</f>
        <v/>
      </c>
      <c r="F22" s="19" t="str">
        <f>IF(OR($A22="",$U22="Víkend"),"",IF($V22&gt;=0.5,"-",PREDVOLBY!$C$21))</f>
        <v/>
      </c>
      <c r="G22" s="20" t="str">
        <f t="shared" si="1"/>
        <v/>
      </c>
      <c r="H22" s="20" t="str">
        <f>IF($G22="","",IF(ISNUMBER($G22),MAX(0,ROUND($G22-PREDVOLBY!$C$22*(1-$V22),2)),"-"))</f>
        <v/>
      </c>
      <c r="I22" s="21" t="str">
        <f>IF($G22="","",IF(AND(ISNUMBER($G22),$J22=""),IF($G22&gt;=PREDVOLBY!$C$26,PREDVOLBY!$C$25,"-"),"-"))</f>
        <v/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>Víkend</v>
      </c>
      <c r="V22">
        <f t="shared" si="3"/>
        <v>0</v>
      </c>
    </row>
    <row r="23" spans="1:22" ht="15.6" customHeight="1" x14ac:dyDescent="0.25">
      <c r="A23" s="17">
        <f>IF(MONTH(DATE(PREDVOLBY!$C$8,10,18))=10,DATE(PREDVOLBY!$C$8,10,18),"")</f>
        <v>46678</v>
      </c>
      <c r="B23" s="18" t="str">
        <f t="shared" si="0"/>
        <v>po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IF(MONTH(DATE(PREDVOLBY!$C$8,10,19))=10,DATE(PREDVOLBY!$C$8,10,19),"")</f>
        <v>46679</v>
      </c>
      <c r="B24" s="18" t="str">
        <f t="shared" si="0"/>
        <v>út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IF(MONTH(DATE(PREDVOLBY!$C$8,10,20))=10,DATE(PREDVOLBY!$C$8,10,20),"")</f>
        <v>46680</v>
      </c>
      <c r="B25" s="18" t="str">
        <f t="shared" si="0"/>
        <v>st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IF(MONTH(DATE(PREDVOLBY!$C$8,10,21))=10,DATE(PREDVOLBY!$C$8,10,21),"")</f>
        <v>46681</v>
      </c>
      <c r="B26" s="18" t="str">
        <f t="shared" si="0"/>
        <v>čt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IF(MONTH(DATE(PREDVOLBY!$C$8,10,22))=10,DATE(PREDVOLBY!$C$8,10,22),"")</f>
        <v>46682</v>
      </c>
      <c r="B27" s="18" t="str">
        <f t="shared" si="0"/>
        <v>pá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IF(MONTH(DATE(PREDVOLBY!$C$8,10,23))=10,DATE(PREDVOLBY!$C$8,10,23),"")</f>
        <v>46683</v>
      </c>
      <c r="B28" s="18" t="str">
        <f t="shared" si="0"/>
        <v>so</v>
      </c>
      <c r="C28" s="19" t="str">
        <f>IF(OR($A28="",$U28="Víkend"),"",IF($V28&gt;=1,"-",PREDVOLBY!$C$18))</f>
        <v/>
      </c>
      <c r="D28" s="19" t="str">
        <f>IF(OR($A28="",$U28="Víkend"),"",IF($V28&gt;=1,"-",PREDVOLBY!$C$19))</f>
        <v/>
      </c>
      <c r="E28" s="19" t="str">
        <f>IF(OR($A28="",$U28="Víkend"),"",IF($V28&gt;=0.5,"-",PREDVOLBY!$C$20))</f>
        <v/>
      </c>
      <c r="F28" s="19" t="str">
        <f>IF(OR($A28="",$U28="Víkend"),"",IF($V28&gt;=0.5,"-",PREDVOLBY!$C$21))</f>
        <v/>
      </c>
      <c r="G28" s="20" t="str">
        <f t="shared" si="1"/>
        <v/>
      </c>
      <c r="H28" s="20" t="str">
        <f>IF($G28="","",IF(ISNUMBER($G28),MAX(0,ROUND($G28-PREDVOLBY!$C$22*(1-$V28),2)),"-"))</f>
        <v/>
      </c>
      <c r="I28" s="21" t="str">
        <f>IF($G28="","",IF(AND(ISNUMBER($G28),$J28=""),IF($G28&gt;=PREDVOLBY!$C$26,PREDVOLBY!$C$25,"-"),"-"))</f>
        <v/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>Víkend</v>
      </c>
      <c r="V28">
        <f t="shared" si="3"/>
        <v>0</v>
      </c>
    </row>
    <row r="29" spans="1:22" ht="15.6" customHeight="1" x14ac:dyDescent="0.25">
      <c r="A29" s="17">
        <f>IF(MONTH(DATE(PREDVOLBY!$C$8,10,24))=10,DATE(PREDVOLBY!$C$8,10,24),"")</f>
        <v>46684</v>
      </c>
      <c r="B29" s="18" t="str">
        <f t="shared" si="0"/>
        <v>ne</v>
      </c>
      <c r="C29" s="19" t="str">
        <f>IF(OR($A29="",$U29="Víkend"),"",IF($V29&gt;=1,"-",PREDVOLBY!$C$18))</f>
        <v/>
      </c>
      <c r="D29" s="19" t="str">
        <f>IF(OR($A29="",$U29="Víkend"),"",IF($V29&gt;=1,"-",PREDVOLBY!$C$19))</f>
        <v/>
      </c>
      <c r="E29" s="19" t="str">
        <f>IF(OR($A29="",$U29="Víkend"),"",IF($V29&gt;=0.5,"-",PREDVOLBY!$C$20))</f>
        <v/>
      </c>
      <c r="F29" s="19" t="str">
        <f>IF(OR($A29="",$U29="Víkend"),"",IF($V29&gt;=0.5,"-",PREDVOLBY!$C$21))</f>
        <v/>
      </c>
      <c r="G29" s="20" t="str">
        <f t="shared" si="1"/>
        <v/>
      </c>
      <c r="H29" s="20" t="str">
        <f>IF($G29="","",IF(ISNUMBER($G29),MAX(0,ROUND($G29-PREDVOLBY!$C$22*(1-$V29),2)),"-"))</f>
        <v/>
      </c>
      <c r="I29" s="21" t="str">
        <f>IF($G29="","",IF(AND(ISNUMBER($G29),$J29=""),IF($G29&gt;=PREDVOLBY!$C$26,PREDVOLBY!$C$25,"-"),"-"))</f>
        <v/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>Víkend</v>
      </c>
      <c r="V29">
        <f t="shared" si="3"/>
        <v>0</v>
      </c>
    </row>
    <row r="30" spans="1:22" ht="15.6" customHeight="1" x14ac:dyDescent="0.25">
      <c r="A30" s="17">
        <f>IF(MONTH(DATE(PREDVOLBY!$C$8,10,25))=10,DATE(PREDVOLBY!$C$8,10,25),"")</f>
        <v>46685</v>
      </c>
      <c r="B30" s="18" t="str">
        <f t="shared" si="0"/>
        <v>po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IF(MONTH(DATE(PREDVOLBY!$C$8,10,26))=10,DATE(PREDVOLBY!$C$8,10,26),"")</f>
        <v>46686</v>
      </c>
      <c r="B31" s="18" t="str">
        <f t="shared" si="0"/>
        <v>út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IF(MONTH(DATE(PREDVOLBY!$C$8,10,27))=10,DATE(PREDVOLBY!$C$8,10,27),"")</f>
        <v>46687</v>
      </c>
      <c r="B32" s="18" t="str">
        <f t="shared" si="0"/>
        <v>st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IF(MONTH(DATE(PREDVOLBY!$C$8,10,28))=10,DATE(PREDVOLBY!$C$8,10,28),"")</f>
        <v>46688</v>
      </c>
      <c r="B33" s="18" t="str">
        <f t="shared" si="0"/>
        <v>čt</v>
      </c>
      <c r="C33" s="19" t="str">
        <f>IF(OR($A33="",$U33="Víkend"),"",IF($V33&gt;=1,"-",PREDVOLBY!$C$18))</f>
        <v>-</v>
      </c>
      <c r="D33" s="19" t="str">
        <f>IF(OR($A33="",$U33="Víkend"),"",IF($V33&gt;=1,"-",PREDVOLBY!$C$19))</f>
        <v>-</v>
      </c>
      <c r="E33" s="19" t="str">
        <f>IF(OR($A33="",$U33="Víkend"),"",IF($V33&gt;=0.5,"-",PREDVOLBY!$C$20))</f>
        <v>-</v>
      </c>
      <c r="F33" s="19" t="str">
        <f>IF(OR($A33="",$U33="Víkend"),"",IF($V33&gt;=0.5,"-",PREDVOLBY!$C$21))</f>
        <v>-</v>
      </c>
      <c r="G33" s="20" t="str">
        <f t="shared" si="1"/>
        <v>-</v>
      </c>
      <c r="H33" s="20" t="str">
        <f>IF($G33="","",IF(ISNUMBER($G33),MAX(0,ROUND($G33-PREDVOLBY!$C$22*(1-$V33),2)),"-"))</f>
        <v>-</v>
      </c>
      <c r="I33" s="21" t="str">
        <f>IF($G33="","",IF(AND(ISNUMBER($G33),$J33=""),IF($G33&gt;=PREDVOLBY!$C$26,PREDVOLBY!$C$25,"-"),"-"))</f>
        <v>-</v>
      </c>
      <c r="J33" s="18"/>
      <c r="K33" s="18"/>
      <c r="L33" s="18"/>
      <c r="M33" s="18">
        <f t="shared" si="2"/>
        <v>1</v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>Den vzniku samostatného československého státu</v>
      </c>
      <c r="U33" t="str">
        <f>IF($A33="","",IF(WEEKDAY($A33,2)&gt;5,"Víkend",IF(COUNTIF(SVATKY_2027!$B$5:$B$22,$A33)&gt;0,"Svátek","")))</f>
        <v>Svátek</v>
      </c>
      <c r="V33">
        <f t="shared" si="3"/>
        <v>1</v>
      </c>
    </row>
    <row r="34" spans="1:22" ht="15.6" customHeight="1" x14ac:dyDescent="0.25">
      <c r="A34" s="17">
        <f>IF(MONTH(DATE(PREDVOLBY!$C$8,10,29))=10,DATE(PREDVOLBY!$C$8,10,29),"")</f>
        <v>46689</v>
      </c>
      <c r="B34" s="18" t="str">
        <f t="shared" si="0"/>
        <v>pá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IF(MONTH(DATE(PREDVOLBY!$C$8,10,30))=10,DATE(PREDVOLBY!$C$8,10,30),"")</f>
        <v>46690</v>
      </c>
      <c r="B35" s="18" t="str">
        <f t="shared" si="0"/>
        <v>so</v>
      </c>
      <c r="C35" s="19" t="str">
        <f>IF(OR($A35="",$U35="Víkend"),"",IF($V35&gt;=1,"-",PREDVOLBY!$C$18))</f>
        <v/>
      </c>
      <c r="D35" s="19" t="str">
        <f>IF(OR($A35="",$U35="Víkend"),"",IF($V35&gt;=1,"-",PREDVOLBY!$C$19))</f>
        <v/>
      </c>
      <c r="E35" s="19" t="str">
        <f>IF(OR($A35="",$U35="Víkend"),"",IF($V35&gt;=0.5,"-",PREDVOLBY!$C$20))</f>
        <v/>
      </c>
      <c r="F35" s="19" t="str">
        <f>IF(OR($A35="",$U35="Víkend"),"",IF($V35&gt;=0.5,"-",PREDVOLBY!$C$21))</f>
        <v/>
      </c>
      <c r="G35" s="20" t="str">
        <f t="shared" si="1"/>
        <v/>
      </c>
      <c r="H35" s="20" t="str">
        <f>IF($G35="","",IF(ISNUMBER($G35),MAX(0,ROUND($G35-PREDVOLBY!$C$22*(1-$V35),2)),"-"))</f>
        <v/>
      </c>
      <c r="I35" s="21" t="str">
        <f>IF($G35="","",IF(AND(ISNUMBER($G35),$J35=""),IF($G35&gt;=PREDVOLBY!$C$26,PREDVOLBY!$C$25,"-"),"-"))</f>
        <v/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>Víkend</v>
      </c>
      <c r="V35">
        <f t="shared" si="3"/>
        <v>0</v>
      </c>
    </row>
    <row r="36" spans="1:22" ht="15.6" customHeight="1" x14ac:dyDescent="0.25">
      <c r="A36" s="17">
        <f>IF(MONTH(DATE(PREDVOLBY!$C$8,10,31))=10,DATE(PREDVOLBY!$C$8,10,31),"")</f>
        <v>46691</v>
      </c>
      <c r="B36" s="18" t="str">
        <f t="shared" si="0"/>
        <v>ne</v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>Víkend</v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160</v>
      </c>
      <c r="H37" s="25">
        <f>SUM(H6:H36)</f>
        <v>0</v>
      </c>
      <c r="I37" s="26">
        <f>SUM(I6:I36)</f>
        <v>2590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1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20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"&amp;SUM('01_2027'!$K$37,'02_2027'!$K$37,'03_2027'!$K$37,'04_2027'!$K$37,'05_2027'!$K$37,'06_2027'!$K$37,'07_2027'!$K$37,'08_2027'!$K$37,'09_2027'!$K$37,'10_2027'!$K$37)&amp;" / "&amp;PREDVOLBY!$C$13&amp;" dní (zbývá "&amp;(PREDVOLBY!$C$13-SUM('01_2027'!$K$37,'02_2027'!$K$37,'03_2027'!$K$37,'04_2027'!$K$37,'05_2027'!$K$37,'06_2027'!$K$37,'07_2027'!$K$37,'08_2027'!$K$37,'09_2027'!$K$37,'10_2027'!$K$37))&amp;")"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"&amp;SUM('01_2027'!$Q$37,'02_2027'!$Q$37,'03_2027'!$Q$37,'04_2027'!$Q$37,'05_2027'!$Q$37,'06_2027'!$Q$37,'07_2027'!$Q$37,'08_2027'!$Q$37,'09_2027'!$Q$37,'10_2027'!$Q$37)&amp;"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"&amp;SUM('01_2027'!$R$37,'02_2027'!$R$37,'03_2027'!$R$37,'04_2027'!$R$37,'05_2027'!$R$37,'06_2027'!$R$37,'07_2027'!$R$37,'08_2027'!$R$37,'09_2027'!$R$37,'10_2027'!$R$37)&amp;"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11" priority="1">
      <formula>$U6="Víkend"</formula>
    </cfRule>
    <cfRule type="expression" dxfId="10" priority="2">
      <formula>$U6="Svátek"</formula>
    </cfRule>
  </conditionalFormatting>
  <conditionalFormatting sqref="I3:S3">
    <cfRule type="expression" dxfId="9" priority="4">
      <formula>$I$3="DOPLŇTE ÚDAJE V KARTĚ PŘEDVOLBY"</formula>
    </cfRule>
  </conditionalFormatting>
  <conditionalFormatting sqref="K6:R36">
    <cfRule type="expression" dxfId="8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B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Říjen 2027&amp;R&amp;"Arial,Regular"&amp;8Strana &amp;P z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85041"/>
    <pageSetUpPr fitToPage="1"/>
  </sheetPr>
  <dimension ref="A1:V51"/>
  <sheetViews>
    <sheetView showGridLines="0" tabSelected="1" workbookViewId="0">
      <pane ySplit="5" topLeftCell="A6" activePane="bottomLeft" state="frozen"/>
      <selection pane="bottomLeft" activeCell="Y31" sqref="Y31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95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46692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IF(MONTH(DATE(PREDVOLBY!$C$8,11,1))=11,DATE(PREDVOLBY!$C$8,11,1),"")</f>
        <v>46692</v>
      </c>
      <c r="B6" s="18" t="str">
        <f t="shared" ref="B6:B36" si="0">IF($A6="","",CHOOSE(WEEKDAY($A6,2),"po","út","st","čt","pá","so","ne"))</f>
        <v>po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IF(MONTH(DATE(PREDVOLBY!$C$8,11,2))=11,DATE(PREDVOLBY!$C$8,11,2),"")</f>
        <v>46693</v>
      </c>
      <c r="B7" s="18" t="str">
        <f t="shared" si="0"/>
        <v>út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IF(MONTH(DATE(PREDVOLBY!$C$8,11,3))=11,DATE(PREDVOLBY!$C$8,11,3),"")</f>
        <v>46694</v>
      </c>
      <c r="B8" s="18" t="str">
        <f t="shared" si="0"/>
        <v>st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IF(MONTH(DATE(PREDVOLBY!$C$8,11,4))=11,DATE(PREDVOLBY!$C$8,11,4),"")</f>
        <v>46695</v>
      </c>
      <c r="B9" s="18" t="str">
        <f t="shared" si="0"/>
        <v>čt</v>
      </c>
      <c r="C9" s="19">
        <f>IF(OR($A9="",$U9="Víkend"),"",IF($V9&gt;=1,"-",PREDVOLBY!$C$18))</f>
        <v>0.3125</v>
      </c>
      <c r="D9" s="19">
        <f>IF(OR($A9="",$U9="Víkend"),"",IF($V9&gt;=1,"-",PREDVOLBY!$C$19))</f>
        <v>0.47916666666666669</v>
      </c>
      <c r="E9" s="19">
        <f>IF(OR($A9="",$U9="Víkend"),"",IF($V9&gt;=0.5,"-",PREDVOLBY!$C$20))</f>
        <v>0.5</v>
      </c>
      <c r="F9" s="19">
        <f>IF(OR($A9="",$U9="Víkend"),"",IF($V9&gt;=0.5,"-",PREDVOLBY!$C$21))</f>
        <v>0.66666666666666663</v>
      </c>
      <c r="G9" s="20">
        <f t="shared" si="1"/>
        <v>8</v>
      </c>
      <c r="H9" s="20">
        <f>IF($G9="","",IF(ISNUMBER($G9),MAX(0,ROUND($G9-PREDVOLBY!$C$22*(1-$V9),2)),"-"))</f>
        <v>0</v>
      </c>
      <c r="I9" s="21">
        <f>IF($G9="","",IF(AND(ISNUMBER($G9),$J9=""),IF($G9&gt;=PREDVOLBY!$C$26,PREDVOLBY!$C$25,"-"),"-"))</f>
        <v>129.5</v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/>
      </c>
      <c r="V9">
        <f t="shared" si="3"/>
        <v>0</v>
      </c>
    </row>
    <row r="10" spans="1:22" ht="15.6" customHeight="1" x14ac:dyDescent="0.25">
      <c r="A10" s="17">
        <f>IF(MONTH(DATE(PREDVOLBY!$C$8,11,5))=11,DATE(PREDVOLBY!$C$8,11,5),"")</f>
        <v>46696</v>
      </c>
      <c r="B10" s="18" t="str">
        <f t="shared" si="0"/>
        <v>pá</v>
      </c>
      <c r="C10" s="19">
        <f>IF(OR($A10="",$U10="Víkend"),"",IF($V10&gt;=1,"-",PREDVOLBY!$C$18))</f>
        <v>0.3125</v>
      </c>
      <c r="D10" s="19">
        <f>IF(OR($A10="",$U10="Víkend"),"",IF($V10&gt;=1,"-",PREDVOLBY!$C$19))</f>
        <v>0.47916666666666669</v>
      </c>
      <c r="E10" s="19">
        <f>IF(OR($A10="",$U10="Víkend"),"",IF($V10&gt;=0.5,"-",PREDVOLBY!$C$20))</f>
        <v>0.5</v>
      </c>
      <c r="F10" s="19">
        <f>IF(OR($A10="",$U10="Víkend"),"",IF($V10&gt;=0.5,"-",PREDVOLBY!$C$21))</f>
        <v>0.66666666666666663</v>
      </c>
      <c r="G10" s="20">
        <f t="shared" si="1"/>
        <v>8</v>
      </c>
      <c r="H10" s="20">
        <f>IF($G10="","",IF(ISNUMBER($G10),MAX(0,ROUND($G10-PREDVOLBY!$C$22*(1-$V10),2)),"-"))</f>
        <v>0</v>
      </c>
      <c r="I10" s="21">
        <f>IF($G10="","",IF(AND(ISNUMBER($G10),$J10=""),IF($G10&gt;=PREDVOLBY!$C$26,PREDVOLBY!$C$25,"-"),"-"))</f>
        <v>129.5</v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/>
      </c>
      <c r="V10">
        <f t="shared" si="3"/>
        <v>0</v>
      </c>
    </row>
    <row r="11" spans="1:22" ht="15.6" customHeight="1" x14ac:dyDescent="0.25">
      <c r="A11" s="17">
        <f>IF(MONTH(DATE(PREDVOLBY!$C$8,11,6))=11,DATE(PREDVOLBY!$C$8,11,6),"")</f>
        <v>46697</v>
      </c>
      <c r="B11" s="18" t="str">
        <f t="shared" si="0"/>
        <v>so</v>
      </c>
      <c r="C11" s="19" t="str">
        <f>IF(OR($A11="",$U11="Víkend"),"",IF($V11&gt;=1,"-",PREDVOLBY!$C$18))</f>
        <v/>
      </c>
      <c r="D11" s="19" t="str">
        <f>IF(OR($A11="",$U11="Víkend"),"",IF($V11&gt;=1,"-",PREDVOLBY!$C$19))</f>
        <v/>
      </c>
      <c r="E11" s="19" t="str">
        <f>IF(OR($A11="",$U11="Víkend"),"",IF($V11&gt;=0.5,"-",PREDVOLBY!$C$20))</f>
        <v/>
      </c>
      <c r="F11" s="19" t="str">
        <f>IF(OR($A11="",$U11="Víkend"),"",IF($V11&gt;=0.5,"-",PREDVOLBY!$C$21))</f>
        <v/>
      </c>
      <c r="G11" s="20" t="str">
        <f t="shared" si="1"/>
        <v/>
      </c>
      <c r="H11" s="20" t="str">
        <f>IF($G11="","",IF(ISNUMBER($G11),MAX(0,ROUND($G11-PREDVOLBY!$C$22*(1-$V11),2)),"-"))</f>
        <v/>
      </c>
      <c r="I11" s="21" t="str">
        <f>IF($G11="","",IF(AND(ISNUMBER($G11),$J11=""),IF($G11&gt;=PREDVOLBY!$C$26,PREDVOLBY!$C$25,"-"),"-"))</f>
        <v/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>Víkend</v>
      </c>
      <c r="V11">
        <f t="shared" si="3"/>
        <v>0</v>
      </c>
    </row>
    <row r="12" spans="1:22" ht="15.6" customHeight="1" x14ac:dyDescent="0.25">
      <c r="A12" s="17">
        <f>IF(MONTH(DATE(PREDVOLBY!$C$8,11,7))=11,DATE(PREDVOLBY!$C$8,11,7),"")</f>
        <v>46698</v>
      </c>
      <c r="B12" s="18" t="str">
        <f t="shared" si="0"/>
        <v>ne</v>
      </c>
      <c r="C12" s="19" t="str">
        <f>IF(OR($A12="",$U12="Víkend"),"",IF($V12&gt;=1,"-",PREDVOLBY!$C$18))</f>
        <v/>
      </c>
      <c r="D12" s="19" t="str">
        <f>IF(OR($A12="",$U12="Víkend"),"",IF($V12&gt;=1,"-",PREDVOLBY!$C$19))</f>
        <v/>
      </c>
      <c r="E12" s="19" t="str">
        <f>IF(OR($A12="",$U12="Víkend"),"",IF($V12&gt;=0.5,"-",PREDVOLBY!$C$20))</f>
        <v/>
      </c>
      <c r="F12" s="19" t="str">
        <f>IF(OR($A12="",$U12="Víkend"),"",IF($V12&gt;=0.5,"-",PREDVOLBY!$C$21))</f>
        <v/>
      </c>
      <c r="G12" s="20" t="str">
        <f t="shared" si="1"/>
        <v/>
      </c>
      <c r="H12" s="20" t="str">
        <f>IF($G12="","",IF(ISNUMBER($G12),MAX(0,ROUND($G12-PREDVOLBY!$C$22*(1-$V12),2)),"-"))</f>
        <v/>
      </c>
      <c r="I12" s="21" t="str">
        <f>IF($G12="","",IF(AND(ISNUMBER($G12),$J12=""),IF($G12&gt;=PREDVOLBY!$C$26,PREDVOLBY!$C$25,"-"),"-"))</f>
        <v/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>Víkend</v>
      </c>
      <c r="V12">
        <f t="shared" si="3"/>
        <v>0</v>
      </c>
    </row>
    <row r="13" spans="1:22" ht="15.6" customHeight="1" x14ac:dyDescent="0.25">
      <c r="A13" s="17">
        <f>IF(MONTH(DATE(PREDVOLBY!$C$8,11,8))=11,DATE(PREDVOLBY!$C$8,11,8),"")</f>
        <v>46699</v>
      </c>
      <c r="B13" s="18" t="str">
        <f t="shared" si="0"/>
        <v>po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IF(MONTH(DATE(PREDVOLBY!$C$8,11,9))=11,DATE(PREDVOLBY!$C$8,11,9),"")</f>
        <v>46700</v>
      </c>
      <c r="B14" s="18" t="str">
        <f t="shared" si="0"/>
        <v>út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IF(MONTH(DATE(PREDVOLBY!$C$8,11,10))=11,DATE(PREDVOLBY!$C$8,11,10),"")</f>
        <v>46701</v>
      </c>
      <c r="B15" s="18" t="str">
        <f t="shared" si="0"/>
        <v>st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IF(MONTH(DATE(PREDVOLBY!$C$8,11,11))=11,DATE(PREDVOLBY!$C$8,11,11),"")</f>
        <v>46702</v>
      </c>
      <c r="B16" s="18" t="str">
        <f t="shared" si="0"/>
        <v>čt</v>
      </c>
      <c r="C16" s="19">
        <f>IF(OR($A16="",$U16="Víkend"),"",IF($V16&gt;=1,"-",PREDVOLBY!$C$18))</f>
        <v>0.3125</v>
      </c>
      <c r="D16" s="19">
        <f>IF(OR($A16="",$U16="Víkend"),"",IF($V16&gt;=1,"-",PREDVOLBY!$C$19))</f>
        <v>0.47916666666666669</v>
      </c>
      <c r="E16" s="19">
        <f>IF(OR($A16="",$U16="Víkend"),"",IF($V16&gt;=0.5,"-",PREDVOLBY!$C$20))</f>
        <v>0.5</v>
      </c>
      <c r="F16" s="19">
        <f>IF(OR($A16="",$U16="Víkend"),"",IF($V16&gt;=0.5,"-",PREDVOLBY!$C$21))</f>
        <v>0.66666666666666663</v>
      </c>
      <c r="G16" s="20">
        <f t="shared" si="1"/>
        <v>8</v>
      </c>
      <c r="H16" s="20">
        <f>IF($G16="","",IF(ISNUMBER($G16),MAX(0,ROUND($G16-PREDVOLBY!$C$22*(1-$V16),2)),"-"))</f>
        <v>0</v>
      </c>
      <c r="I16" s="21">
        <f>IF($G16="","",IF(AND(ISNUMBER($G16),$J16=""),IF($G16&gt;=PREDVOLBY!$C$26,PREDVOLBY!$C$25,"-"),"-"))</f>
        <v>129.5</v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/>
      </c>
      <c r="V16">
        <f t="shared" si="3"/>
        <v>0</v>
      </c>
    </row>
    <row r="17" spans="1:22" ht="15.6" customHeight="1" x14ac:dyDescent="0.25">
      <c r="A17" s="17">
        <f>IF(MONTH(DATE(PREDVOLBY!$C$8,11,12))=11,DATE(PREDVOLBY!$C$8,11,12),"")</f>
        <v>46703</v>
      </c>
      <c r="B17" s="18" t="str">
        <f t="shared" si="0"/>
        <v>pá</v>
      </c>
      <c r="C17" s="19">
        <f>IF(OR($A17="",$U17="Víkend"),"",IF($V17&gt;=1,"-",PREDVOLBY!$C$18))</f>
        <v>0.3125</v>
      </c>
      <c r="D17" s="19">
        <f>IF(OR($A17="",$U17="Víkend"),"",IF($V17&gt;=1,"-",PREDVOLBY!$C$19))</f>
        <v>0.47916666666666669</v>
      </c>
      <c r="E17" s="19">
        <f>IF(OR($A17="",$U17="Víkend"),"",IF($V17&gt;=0.5,"-",PREDVOLBY!$C$20))</f>
        <v>0.5</v>
      </c>
      <c r="F17" s="19">
        <f>IF(OR($A17="",$U17="Víkend"),"",IF($V17&gt;=0.5,"-",PREDVOLBY!$C$21))</f>
        <v>0.66666666666666663</v>
      </c>
      <c r="G17" s="20">
        <f t="shared" si="1"/>
        <v>8</v>
      </c>
      <c r="H17" s="20">
        <f>IF($G17="","",IF(ISNUMBER($G17),MAX(0,ROUND($G17-PREDVOLBY!$C$22*(1-$V17),2)),"-"))</f>
        <v>0</v>
      </c>
      <c r="I17" s="21">
        <f>IF($G17="","",IF(AND(ISNUMBER($G17),$J17=""),IF($G17&gt;=PREDVOLBY!$C$26,PREDVOLBY!$C$25,"-"),"-"))</f>
        <v>129.5</v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/>
      </c>
      <c r="V17">
        <f t="shared" si="3"/>
        <v>0</v>
      </c>
    </row>
    <row r="18" spans="1:22" ht="15.6" customHeight="1" x14ac:dyDescent="0.25">
      <c r="A18" s="17">
        <f>IF(MONTH(DATE(PREDVOLBY!$C$8,11,13))=11,DATE(PREDVOLBY!$C$8,11,13),"")</f>
        <v>46704</v>
      </c>
      <c r="B18" s="18" t="str">
        <f t="shared" si="0"/>
        <v>so</v>
      </c>
      <c r="C18" s="19" t="str">
        <f>IF(OR($A18="",$U18="Víkend"),"",IF($V18&gt;=1,"-",PREDVOLBY!$C$18))</f>
        <v/>
      </c>
      <c r="D18" s="19" t="str">
        <f>IF(OR($A18="",$U18="Víkend"),"",IF($V18&gt;=1,"-",PREDVOLBY!$C$19))</f>
        <v/>
      </c>
      <c r="E18" s="19" t="str">
        <f>IF(OR($A18="",$U18="Víkend"),"",IF($V18&gt;=0.5,"-",PREDVOLBY!$C$20))</f>
        <v/>
      </c>
      <c r="F18" s="19" t="str">
        <f>IF(OR($A18="",$U18="Víkend"),"",IF($V18&gt;=0.5,"-",PREDVOLBY!$C$21))</f>
        <v/>
      </c>
      <c r="G18" s="20" t="str">
        <f t="shared" si="1"/>
        <v/>
      </c>
      <c r="H18" s="20" t="str">
        <f>IF($G18="","",IF(ISNUMBER($G18),MAX(0,ROUND($G18-PREDVOLBY!$C$22*(1-$V18),2)),"-"))</f>
        <v/>
      </c>
      <c r="I18" s="21" t="str">
        <f>IF($G18="","",IF(AND(ISNUMBER($G18),$J18=""),IF($G18&gt;=PREDVOLBY!$C$26,PREDVOLBY!$C$25,"-"),"-"))</f>
        <v/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>Víkend</v>
      </c>
      <c r="V18">
        <f t="shared" si="3"/>
        <v>0</v>
      </c>
    </row>
    <row r="19" spans="1:22" ht="15.6" customHeight="1" x14ac:dyDescent="0.25">
      <c r="A19" s="17">
        <f>IF(MONTH(DATE(PREDVOLBY!$C$8,11,14))=11,DATE(PREDVOLBY!$C$8,11,14),"")</f>
        <v>46705</v>
      </c>
      <c r="B19" s="18" t="str">
        <f t="shared" si="0"/>
        <v>ne</v>
      </c>
      <c r="C19" s="19" t="str">
        <f>IF(OR($A19="",$U19="Víkend"),"",IF($V19&gt;=1,"-",PREDVOLBY!$C$18))</f>
        <v/>
      </c>
      <c r="D19" s="19" t="str">
        <f>IF(OR($A19="",$U19="Víkend"),"",IF($V19&gt;=1,"-",PREDVOLBY!$C$19))</f>
        <v/>
      </c>
      <c r="E19" s="19" t="str">
        <f>IF(OR($A19="",$U19="Víkend"),"",IF($V19&gt;=0.5,"-",PREDVOLBY!$C$20))</f>
        <v/>
      </c>
      <c r="F19" s="19" t="str">
        <f>IF(OR($A19="",$U19="Víkend"),"",IF($V19&gt;=0.5,"-",PREDVOLBY!$C$21))</f>
        <v/>
      </c>
      <c r="G19" s="20" t="str">
        <f t="shared" si="1"/>
        <v/>
      </c>
      <c r="H19" s="20" t="str">
        <f>IF($G19="","",IF(ISNUMBER($G19),MAX(0,ROUND($G19-PREDVOLBY!$C$22*(1-$V19),2)),"-"))</f>
        <v/>
      </c>
      <c r="I19" s="21" t="str">
        <f>IF($G19="","",IF(AND(ISNUMBER($G19),$J19=""),IF($G19&gt;=PREDVOLBY!$C$26,PREDVOLBY!$C$25,"-"),"-"))</f>
        <v/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>Víkend</v>
      </c>
      <c r="V19">
        <f t="shared" si="3"/>
        <v>0</v>
      </c>
    </row>
    <row r="20" spans="1:22" ht="15.6" customHeight="1" x14ac:dyDescent="0.25">
      <c r="A20" s="17">
        <f>IF(MONTH(DATE(PREDVOLBY!$C$8,11,15))=11,DATE(PREDVOLBY!$C$8,11,15),"")</f>
        <v>46706</v>
      </c>
      <c r="B20" s="18" t="str">
        <f t="shared" si="0"/>
        <v>po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IF(MONTH(DATE(PREDVOLBY!$C$8,11,16))=11,DATE(PREDVOLBY!$C$8,11,16),"")</f>
        <v>46707</v>
      </c>
      <c r="B21" s="18" t="str">
        <f t="shared" si="0"/>
        <v>út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IF(MONTH(DATE(PREDVOLBY!$C$8,11,17))=11,DATE(PREDVOLBY!$C$8,11,17),"")</f>
        <v>46708</v>
      </c>
      <c r="B22" s="18" t="str">
        <f t="shared" si="0"/>
        <v>st</v>
      </c>
      <c r="C22" s="19" t="str">
        <f>IF(OR($A22="",$U22="Víkend"),"",IF($V22&gt;=1,"-",PREDVOLBY!$C$18))</f>
        <v>-</v>
      </c>
      <c r="D22" s="19" t="str">
        <f>IF(OR($A22="",$U22="Víkend"),"",IF($V22&gt;=1,"-",PREDVOLBY!$C$19))</f>
        <v>-</v>
      </c>
      <c r="E22" s="19" t="str">
        <f>IF(OR($A22="",$U22="Víkend"),"",IF($V22&gt;=0.5,"-",PREDVOLBY!$C$20))</f>
        <v>-</v>
      </c>
      <c r="F22" s="19" t="str">
        <f>IF(OR($A22="",$U22="Víkend"),"",IF($V22&gt;=0.5,"-",PREDVOLBY!$C$21))</f>
        <v>-</v>
      </c>
      <c r="G22" s="20" t="str">
        <f t="shared" si="1"/>
        <v>-</v>
      </c>
      <c r="H22" s="20" t="str">
        <f>IF($G22="","",IF(ISNUMBER($G22),MAX(0,ROUND($G22-PREDVOLBY!$C$22*(1-$V22),2)),"-"))</f>
        <v>-</v>
      </c>
      <c r="I22" s="21" t="str">
        <f>IF($G22="","",IF(AND(ISNUMBER($G22),$J22=""),IF($G22&gt;=PREDVOLBY!$C$26,PREDVOLBY!$C$25,"-"),"-"))</f>
        <v>-</v>
      </c>
      <c r="J22" s="18"/>
      <c r="K22" s="18"/>
      <c r="L22" s="18"/>
      <c r="M22" s="18">
        <f t="shared" si="2"/>
        <v>1</v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>Den boje za svobodu a demokracii</v>
      </c>
      <c r="U22" t="str">
        <f>IF($A22="","",IF(WEEKDAY($A22,2)&gt;5,"Víkend",IF(COUNTIF(SVATKY_2027!$B$5:$B$22,$A22)&gt;0,"Svátek","")))</f>
        <v>Svátek</v>
      </c>
      <c r="V22">
        <f t="shared" si="3"/>
        <v>1</v>
      </c>
    </row>
    <row r="23" spans="1:22" ht="15.6" customHeight="1" x14ac:dyDescent="0.25">
      <c r="A23" s="17">
        <f>IF(MONTH(DATE(PREDVOLBY!$C$8,11,18))=11,DATE(PREDVOLBY!$C$8,11,18),"")</f>
        <v>46709</v>
      </c>
      <c r="B23" s="18" t="str">
        <f t="shared" si="0"/>
        <v>čt</v>
      </c>
      <c r="C23" s="19">
        <f>IF(OR($A23="",$U23="Víkend"),"",IF($V23&gt;=1,"-",PREDVOLBY!$C$18))</f>
        <v>0.3125</v>
      </c>
      <c r="D23" s="19">
        <f>IF(OR($A23="",$U23="Víkend"),"",IF($V23&gt;=1,"-",PREDVOLBY!$C$19))</f>
        <v>0.47916666666666669</v>
      </c>
      <c r="E23" s="19">
        <f>IF(OR($A23="",$U23="Víkend"),"",IF($V23&gt;=0.5,"-",PREDVOLBY!$C$20))</f>
        <v>0.5</v>
      </c>
      <c r="F23" s="19">
        <f>IF(OR($A23="",$U23="Víkend"),"",IF($V23&gt;=0.5,"-",PREDVOLBY!$C$21))</f>
        <v>0.66666666666666663</v>
      </c>
      <c r="G23" s="20">
        <f t="shared" si="1"/>
        <v>8</v>
      </c>
      <c r="H23" s="20">
        <f>IF($G23="","",IF(ISNUMBER($G23),MAX(0,ROUND($G23-PREDVOLBY!$C$22*(1-$V23),2)),"-"))</f>
        <v>0</v>
      </c>
      <c r="I23" s="21">
        <f>IF($G23="","",IF(AND(ISNUMBER($G23),$J23=""),IF($G23&gt;=PREDVOLBY!$C$26,PREDVOLBY!$C$25,"-"),"-"))</f>
        <v>129.5</v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/>
      </c>
      <c r="V23">
        <f t="shared" si="3"/>
        <v>0</v>
      </c>
    </row>
    <row r="24" spans="1:22" ht="15.6" customHeight="1" x14ac:dyDescent="0.25">
      <c r="A24" s="17">
        <f>IF(MONTH(DATE(PREDVOLBY!$C$8,11,19))=11,DATE(PREDVOLBY!$C$8,11,19),"")</f>
        <v>46710</v>
      </c>
      <c r="B24" s="18" t="str">
        <f t="shared" si="0"/>
        <v>pá</v>
      </c>
      <c r="C24" s="19">
        <f>IF(OR($A24="",$U24="Víkend"),"",IF($V24&gt;=1,"-",PREDVOLBY!$C$18))</f>
        <v>0.3125</v>
      </c>
      <c r="D24" s="19">
        <f>IF(OR($A24="",$U24="Víkend"),"",IF($V24&gt;=1,"-",PREDVOLBY!$C$19))</f>
        <v>0.47916666666666669</v>
      </c>
      <c r="E24" s="19">
        <f>IF(OR($A24="",$U24="Víkend"),"",IF($V24&gt;=0.5,"-",PREDVOLBY!$C$20))</f>
        <v>0.5</v>
      </c>
      <c r="F24" s="19">
        <f>IF(OR($A24="",$U24="Víkend"),"",IF($V24&gt;=0.5,"-",PREDVOLBY!$C$21))</f>
        <v>0.66666666666666663</v>
      </c>
      <c r="G24" s="20">
        <f t="shared" si="1"/>
        <v>8</v>
      </c>
      <c r="H24" s="20">
        <f>IF($G24="","",IF(ISNUMBER($G24),MAX(0,ROUND($G24-PREDVOLBY!$C$22*(1-$V24),2)),"-"))</f>
        <v>0</v>
      </c>
      <c r="I24" s="21">
        <f>IF($G24="","",IF(AND(ISNUMBER($G24),$J24=""),IF($G24&gt;=PREDVOLBY!$C$26,PREDVOLBY!$C$25,"-"),"-"))</f>
        <v>129.5</v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/>
      </c>
      <c r="V24">
        <f t="shared" si="3"/>
        <v>0</v>
      </c>
    </row>
    <row r="25" spans="1:22" ht="15.6" customHeight="1" x14ac:dyDescent="0.25">
      <c r="A25" s="17">
        <f>IF(MONTH(DATE(PREDVOLBY!$C$8,11,20))=11,DATE(PREDVOLBY!$C$8,11,20),"")</f>
        <v>46711</v>
      </c>
      <c r="B25" s="18" t="str">
        <f t="shared" si="0"/>
        <v>so</v>
      </c>
      <c r="C25" s="19" t="str">
        <f>IF(OR($A25="",$U25="Víkend"),"",IF($V25&gt;=1,"-",PREDVOLBY!$C$18))</f>
        <v/>
      </c>
      <c r="D25" s="19" t="str">
        <f>IF(OR($A25="",$U25="Víkend"),"",IF($V25&gt;=1,"-",PREDVOLBY!$C$19))</f>
        <v/>
      </c>
      <c r="E25" s="19" t="str">
        <f>IF(OR($A25="",$U25="Víkend"),"",IF($V25&gt;=0.5,"-",PREDVOLBY!$C$20))</f>
        <v/>
      </c>
      <c r="F25" s="19" t="str">
        <f>IF(OR($A25="",$U25="Víkend"),"",IF($V25&gt;=0.5,"-",PREDVOLBY!$C$21))</f>
        <v/>
      </c>
      <c r="G25" s="20" t="str">
        <f t="shared" si="1"/>
        <v/>
      </c>
      <c r="H25" s="20" t="str">
        <f>IF($G25="","",IF(ISNUMBER($G25),MAX(0,ROUND($G25-PREDVOLBY!$C$22*(1-$V25),2)),"-"))</f>
        <v/>
      </c>
      <c r="I25" s="21" t="str">
        <f>IF($G25="","",IF(AND(ISNUMBER($G25),$J25=""),IF($G25&gt;=PREDVOLBY!$C$26,PREDVOLBY!$C$25,"-"),"-"))</f>
        <v/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>Víkend</v>
      </c>
      <c r="V25">
        <f t="shared" si="3"/>
        <v>0</v>
      </c>
    </row>
    <row r="26" spans="1:22" ht="15.6" customHeight="1" x14ac:dyDescent="0.25">
      <c r="A26" s="17">
        <f>IF(MONTH(DATE(PREDVOLBY!$C$8,11,21))=11,DATE(PREDVOLBY!$C$8,11,21),"")</f>
        <v>46712</v>
      </c>
      <c r="B26" s="18" t="str">
        <f t="shared" si="0"/>
        <v>ne</v>
      </c>
      <c r="C26" s="19" t="str">
        <f>IF(OR($A26="",$U26="Víkend"),"",IF($V26&gt;=1,"-",PREDVOLBY!$C$18))</f>
        <v/>
      </c>
      <c r="D26" s="19" t="str">
        <f>IF(OR($A26="",$U26="Víkend"),"",IF($V26&gt;=1,"-",PREDVOLBY!$C$19))</f>
        <v/>
      </c>
      <c r="E26" s="19" t="str">
        <f>IF(OR($A26="",$U26="Víkend"),"",IF($V26&gt;=0.5,"-",PREDVOLBY!$C$20))</f>
        <v/>
      </c>
      <c r="F26" s="19" t="str">
        <f>IF(OR($A26="",$U26="Víkend"),"",IF($V26&gt;=0.5,"-",PREDVOLBY!$C$21))</f>
        <v/>
      </c>
      <c r="G26" s="20" t="str">
        <f t="shared" si="1"/>
        <v/>
      </c>
      <c r="H26" s="20" t="str">
        <f>IF($G26="","",IF(ISNUMBER($G26),MAX(0,ROUND($G26-PREDVOLBY!$C$22*(1-$V26),2)),"-"))</f>
        <v/>
      </c>
      <c r="I26" s="21" t="str">
        <f>IF($G26="","",IF(AND(ISNUMBER($G26),$J26=""),IF($G26&gt;=PREDVOLBY!$C$26,PREDVOLBY!$C$25,"-"),"-"))</f>
        <v/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>Víkend</v>
      </c>
      <c r="V26">
        <f t="shared" si="3"/>
        <v>0</v>
      </c>
    </row>
    <row r="27" spans="1:22" ht="15.6" customHeight="1" x14ac:dyDescent="0.25">
      <c r="A27" s="17">
        <f>IF(MONTH(DATE(PREDVOLBY!$C$8,11,22))=11,DATE(PREDVOLBY!$C$8,11,22),"")</f>
        <v>46713</v>
      </c>
      <c r="B27" s="18" t="str">
        <f t="shared" si="0"/>
        <v>po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IF(MONTH(DATE(PREDVOLBY!$C$8,11,23))=11,DATE(PREDVOLBY!$C$8,11,23),"")</f>
        <v>46714</v>
      </c>
      <c r="B28" s="18" t="str">
        <f t="shared" si="0"/>
        <v>út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IF(MONTH(DATE(PREDVOLBY!$C$8,11,24))=11,DATE(PREDVOLBY!$C$8,11,24),"")</f>
        <v>46715</v>
      </c>
      <c r="B29" s="18" t="str">
        <f t="shared" si="0"/>
        <v>st</v>
      </c>
      <c r="C29" s="19">
        <f>IF(OR($A29="",$U29="Víkend"),"",IF($V29&gt;=1,"-",PREDVOLBY!$C$18))</f>
        <v>0.3125</v>
      </c>
      <c r="D29" s="19">
        <f>IF(OR($A29="",$U29="Víkend"),"",IF($V29&gt;=1,"-",PREDVOLBY!$C$19))</f>
        <v>0.47916666666666669</v>
      </c>
      <c r="E29" s="19">
        <f>IF(OR($A29="",$U29="Víkend"),"",IF($V29&gt;=0.5,"-",PREDVOLBY!$C$20))</f>
        <v>0.5</v>
      </c>
      <c r="F29" s="19">
        <f>IF(OR($A29="",$U29="Víkend"),"",IF($V29&gt;=0.5,"-",PREDVOLBY!$C$21))</f>
        <v>0.66666666666666663</v>
      </c>
      <c r="G29" s="20">
        <f t="shared" si="1"/>
        <v>8</v>
      </c>
      <c r="H29" s="20">
        <f>IF($G29="","",IF(ISNUMBER($G29),MAX(0,ROUND($G29-PREDVOLBY!$C$22*(1-$V29),2)),"-"))</f>
        <v>0</v>
      </c>
      <c r="I29" s="21">
        <f>IF($G29="","",IF(AND(ISNUMBER($G29),$J29=""),IF($G29&gt;=PREDVOLBY!$C$26,PREDVOLBY!$C$25,"-"),"-"))</f>
        <v>129.5</v>
      </c>
      <c r="J29" s="18"/>
      <c r="K29" s="18"/>
      <c r="L29" s="18"/>
      <c r="M29" s="18" t="str">
        <f t="shared" si="2"/>
        <v/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/>
      </c>
      <c r="U29" t="str">
        <f>IF($A29="","",IF(WEEKDAY($A29,2)&gt;5,"Víkend",IF(COUNTIF(SVATKY_2027!$B$5:$B$22,$A29)&gt;0,"Svátek","")))</f>
        <v/>
      </c>
      <c r="V29">
        <f t="shared" si="3"/>
        <v>0</v>
      </c>
    </row>
    <row r="30" spans="1:22" ht="15.6" customHeight="1" x14ac:dyDescent="0.25">
      <c r="A30" s="17">
        <f>IF(MONTH(DATE(PREDVOLBY!$C$8,11,25))=11,DATE(PREDVOLBY!$C$8,11,25),"")</f>
        <v>46716</v>
      </c>
      <c r="B30" s="18" t="str">
        <f t="shared" si="0"/>
        <v>čt</v>
      </c>
      <c r="C30" s="19">
        <f>IF(OR($A30="",$U30="Víkend"),"",IF($V30&gt;=1,"-",PREDVOLBY!$C$18))</f>
        <v>0.3125</v>
      </c>
      <c r="D30" s="19">
        <f>IF(OR($A30="",$U30="Víkend"),"",IF($V30&gt;=1,"-",PREDVOLBY!$C$19))</f>
        <v>0.47916666666666669</v>
      </c>
      <c r="E30" s="19">
        <f>IF(OR($A30="",$U30="Víkend"),"",IF($V30&gt;=0.5,"-",PREDVOLBY!$C$20))</f>
        <v>0.5</v>
      </c>
      <c r="F30" s="19">
        <f>IF(OR($A30="",$U30="Víkend"),"",IF($V30&gt;=0.5,"-",PREDVOLBY!$C$21))</f>
        <v>0.66666666666666663</v>
      </c>
      <c r="G30" s="20">
        <f t="shared" si="1"/>
        <v>8</v>
      </c>
      <c r="H30" s="20">
        <f>IF($G30="","",IF(ISNUMBER($G30),MAX(0,ROUND($G30-PREDVOLBY!$C$22*(1-$V30),2)),"-"))</f>
        <v>0</v>
      </c>
      <c r="I30" s="21">
        <f>IF($G30="","",IF(AND(ISNUMBER($G30),$J30=""),IF($G30&gt;=PREDVOLBY!$C$26,PREDVOLBY!$C$25,"-"),"-"))</f>
        <v>129.5</v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/>
      </c>
      <c r="V30">
        <f t="shared" si="3"/>
        <v>0</v>
      </c>
    </row>
    <row r="31" spans="1:22" ht="15.6" customHeight="1" x14ac:dyDescent="0.25">
      <c r="A31" s="17">
        <f>IF(MONTH(DATE(PREDVOLBY!$C$8,11,26))=11,DATE(PREDVOLBY!$C$8,11,26),"")</f>
        <v>46717</v>
      </c>
      <c r="B31" s="18" t="str">
        <f t="shared" si="0"/>
        <v>pá</v>
      </c>
      <c r="C31" s="19">
        <f>IF(OR($A31="",$U31="Víkend"),"",IF($V31&gt;=1,"-",PREDVOLBY!$C$18))</f>
        <v>0.3125</v>
      </c>
      <c r="D31" s="19">
        <f>IF(OR($A31="",$U31="Víkend"),"",IF($V31&gt;=1,"-",PREDVOLBY!$C$19))</f>
        <v>0.47916666666666669</v>
      </c>
      <c r="E31" s="19">
        <f>IF(OR($A31="",$U31="Víkend"),"",IF($V31&gt;=0.5,"-",PREDVOLBY!$C$20))</f>
        <v>0.5</v>
      </c>
      <c r="F31" s="19">
        <f>IF(OR($A31="",$U31="Víkend"),"",IF($V31&gt;=0.5,"-",PREDVOLBY!$C$21))</f>
        <v>0.66666666666666663</v>
      </c>
      <c r="G31" s="20">
        <f t="shared" si="1"/>
        <v>8</v>
      </c>
      <c r="H31" s="20">
        <f>IF($G31="","",IF(ISNUMBER($G31),MAX(0,ROUND($G31-PREDVOLBY!$C$22*(1-$V31),2)),"-"))</f>
        <v>0</v>
      </c>
      <c r="I31" s="21">
        <f>IF($G31="","",IF(AND(ISNUMBER($G31),$J31=""),IF($G31&gt;=PREDVOLBY!$C$26,PREDVOLBY!$C$25,"-"),"-"))</f>
        <v>129.5</v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/>
      </c>
      <c r="V31">
        <f t="shared" si="3"/>
        <v>0</v>
      </c>
    </row>
    <row r="32" spans="1:22" ht="15.6" customHeight="1" x14ac:dyDescent="0.25">
      <c r="A32" s="17">
        <f>IF(MONTH(DATE(PREDVOLBY!$C$8,11,27))=11,DATE(PREDVOLBY!$C$8,11,27),"")</f>
        <v>46718</v>
      </c>
      <c r="B32" s="18" t="str">
        <f t="shared" si="0"/>
        <v>so</v>
      </c>
      <c r="C32" s="19" t="str">
        <f>IF(OR($A32="",$U32="Víkend"),"",IF($V32&gt;=1,"-",PREDVOLBY!$C$18))</f>
        <v/>
      </c>
      <c r="D32" s="19" t="str">
        <f>IF(OR($A32="",$U32="Víkend"),"",IF($V32&gt;=1,"-",PREDVOLBY!$C$19))</f>
        <v/>
      </c>
      <c r="E32" s="19" t="str">
        <f>IF(OR($A32="",$U32="Víkend"),"",IF($V32&gt;=0.5,"-",PREDVOLBY!$C$20))</f>
        <v/>
      </c>
      <c r="F32" s="19" t="str">
        <f>IF(OR($A32="",$U32="Víkend"),"",IF($V32&gt;=0.5,"-",PREDVOLBY!$C$21))</f>
        <v/>
      </c>
      <c r="G32" s="20" t="str">
        <f t="shared" si="1"/>
        <v/>
      </c>
      <c r="H32" s="20" t="str">
        <f>IF($G32="","",IF(ISNUMBER($G32),MAX(0,ROUND($G32-PREDVOLBY!$C$22*(1-$V32),2)),"-"))</f>
        <v/>
      </c>
      <c r="I32" s="21" t="str">
        <f>IF($G32="","",IF(AND(ISNUMBER($G32),$J32=""),IF($G32&gt;=PREDVOLBY!$C$26,PREDVOLBY!$C$25,"-"),"-"))</f>
        <v/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>Víkend</v>
      </c>
      <c r="V32">
        <f t="shared" si="3"/>
        <v>0</v>
      </c>
    </row>
    <row r="33" spans="1:22" ht="15.6" customHeight="1" x14ac:dyDescent="0.25">
      <c r="A33" s="17">
        <f>IF(MONTH(DATE(PREDVOLBY!$C$8,11,28))=11,DATE(PREDVOLBY!$C$8,11,28),"")</f>
        <v>46719</v>
      </c>
      <c r="B33" s="18" t="str">
        <f t="shared" si="0"/>
        <v>ne</v>
      </c>
      <c r="C33" s="19" t="str">
        <f>IF(OR($A33="",$U33="Víkend"),"",IF($V33&gt;=1,"-",PREDVOLBY!$C$18))</f>
        <v/>
      </c>
      <c r="D33" s="19" t="str">
        <f>IF(OR($A33="",$U33="Víkend"),"",IF($V33&gt;=1,"-",PREDVOLBY!$C$19))</f>
        <v/>
      </c>
      <c r="E33" s="19" t="str">
        <f>IF(OR($A33="",$U33="Víkend"),"",IF($V33&gt;=0.5,"-",PREDVOLBY!$C$20))</f>
        <v/>
      </c>
      <c r="F33" s="19" t="str">
        <f>IF(OR($A33="",$U33="Víkend"),"",IF($V33&gt;=0.5,"-",PREDVOLBY!$C$21))</f>
        <v/>
      </c>
      <c r="G33" s="20" t="str">
        <f t="shared" si="1"/>
        <v/>
      </c>
      <c r="H33" s="20" t="str">
        <f>IF($G33="","",IF(ISNUMBER($G33),MAX(0,ROUND($G33-PREDVOLBY!$C$22*(1-$V33),2)),"-"))</f>
        <v/>
      </c>
      <c r="I33" s="21" t="str">
        <f>IF($G33="","",IF(AND(ISNUMBER($G33),$J33=""),IF($G33&gt;=PREDVOLBY!$C$26,PREDVOLBY!$C$25,"-"),"-"))</f>
        <v/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>Víkend</v>
      </c>
      <c r="V33">
        <f t="shared" si="3"/>
        <v>0</v>
      </c>
    </row>
    <row r="34" spans="1:22" ht="15.6" customHeight="1" x14ac:dyDescent="0.25">
      <c r="A34" s="17">
        <f>IF(MONTH(DATE(PREDVOLBY!$C$8,11,29))=11,DATE(PREDVOLBY!$C$8,11,29),"")</f>
        <v>46720</v>
      </c>
      <c r="B34" s="18" t="str">
        <f t="shared" si="0"/>
        <v>po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IF(MONTH(DATE(PREDVOLBY!$C$8,11,30))=11,DATE(PREDVOLBY!$C$8,11,30),"")</f>
        <v>46721</v>
      </c>
      <c r="B35" s="18" t="str">
        <f t="shared" si="0"/>
        <v>út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 t="str">
        <f>IF(MONTH(DATE(PREDVOLBY!$C$8,11,31))=11,DATE(PREDVOLBY!$C$8,11,31),"")</f>
        <v/>
      </c>
      <c r="B36" s="18" t="str">
        <f t="shared" si="0"/>
        <v/>
      </c>
      <c r="C36" s="19" t="str">
        <f>IF(OR($A36="",$U36="Víkend"),"",IF($V36&gt;=1,"-",PREDVOLBY!$C$18))</f>
        <v/>
      </c>
      <c r="D36" s="19" t="str">
        <f>IF(OR($A36="",$U36="Víkend"),"",IF($V36&gt;=1,"-",PREDVOLBY!$C$19))</f>
        <v/>
      </c>
      <c r="E36" s="19" t="str">
        <f>IF(OR($A36="",$U36="Víkend"),"",IF($V36&gt;=0.5,"-",PREDVOLBY!$C$20))</f>
        <v/>
      </c>
      <c r="F36" s="19" t="str">
        <f>IF(OR($A36="",$U36="Víkend"),"",IF($V36&gt;=0.5,"-",PREDVOLBY!$C$21))</f>
        <v/>
      </c>
      <c r="G36" s="20" t="str">
        <f t="shared" si="1"/>
        <v/>
      </c>
      <c r="H36" s="20" t="str">
        <f>IF($G36="","",IF(ISNUMBER($G36),MAX(0,ROUND($G36-PREDVOLBY!$C$22*(1-$V36),2)),"-"))</f>
        <v/>
      </c>
      <c r="I36" s="21" t="str">
        <f>IF($G36="","",IF(AND(ISNUMBER($G36),$J36=""),IF($G36&gt;=PREDVOLBY!$C$26,PREDVOLBY!$C$25,"-"),"-"))</f>
        <v/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168</v>
      </c>
      <c r="H37" s="25">
        <f>SUM(H6:H36)</f>
        <v>0</v>
      </c>
      <c r="I37" s="26">
        <f>SUM(I6:I36)</f>
        <v>2719.5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1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21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"&amp;SUM('01_2027'!$K$37,'02_2027'!$K$37,'03_2027'!$K$37,'04_2027'!$K$37,'05_2027'!$K$37,'06_2027'!$K$37,'07_2027'!$K$37,'08_2027'!$K$37,'09_2027'!$K$37,'10_2027'!$K$37,'11_2027'!$K$37)&amp;" / "&amp;PREDVOLBY!$C$13&amp;" dní (zbývá "&amp;(PREDVOLBY!$C$13-SUM('01_2027'!$K$37,'02_2027'!$K$37,'03_2027'!$K$37,'04_2027'!$K$37,'05_2027'!$K$37,'06_2027'!$K$37,'07_2027'!$K$37,'08_2027'!$K$37,'09_2027'!$K$37,'10_2027'!$K$37,'11_2027'!$K$37))&amp;")"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"&amp;SUM('01_2027'!$Q$37,'02_2027'!$Q$37,'03_2027'!$Q$37,'04_2027'!$Q$37,'05_2027'!$Q$37,'06_2027'!$Q$37,'07_2027'!$Q$37,'08_2027'!$Q$37,'09_2027'!$Q$37,'10_2027'!$Q$37,'11_2027'!$Q$37)&amp;"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"&amp;SUM('01_2027'!$R$37,'02_2027'!$R$37,'03_2027'!$R$37,'04_2027'!$R$37,'05_2027'!$R$37,'06_2027'!$R$37,'07_2027'!$R$37,'08_2027'!$R$37,'09_2027'!$R$37,'10_2027'!$R$37,'11_2027'!$R$37)&amp;"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7" priority="1">
      <formula>$U6="Víkend"</formula>
    </cfRule>
    <cfRule type="expression" dxfId="6" priority="2">
      <formula>$U6="Svátek"</formula>
    </cfRule>
  </conditionalFormatting>
  <conditionalFormatting sqref="I3:S3">
    <cfRule type="expression" dxfId="5" priority="4">
      <formula>$I$3="DOPLŇTE ÚDAJE V KARTĚ PŘEDVOLBY"</formula>
    </cfRule>
  </conditionalFormatting>
  <conditionalFormatting sqref="K6:R36">
    <cfRule type="expression" dxfId="4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C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Listopad 2027&amp;R&amp;"Arial,Regular"&amp;8Strana &amp;P z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F9D7C"/>
    <pageSetUpPr fitToPage="1"/>
  </sheetPr>
  <dimension ref="A1:V5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.42578125" customWidth="1"/>
    <col min="2" max="2" width="5" customWidth="1"/>
    <col min="3" max="6" width="7" customWidth="1"/>
    <col min="7" max="7" width="10" customWidth="1"/>
    <col min="9" max="10" width="10" customWidth="1"/>
    <col min="11" max="16" width="5.42578125" customWidth="1"/>
    <col min="17" max="17" width="8" customWidth="1"/>
    <col min="18" max="18" width="7" customWidth="1"/>
    <col min="19" max="19" width="34" customWidth="1"/>
    <col min="20" max="20" width="2" hidden="1" customWidth="1"/>
    <col min="21" max="22" width="8" hidden="1" customWidth="1"/>
  </cols>
  <sheetData>
    <row r="1" spans="1:22" ht="26.1" customHeight="1" x14ac:dyDescent="0.25">
      <c r="A1" s="48" t="s">
        <v>54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 t="s">
        <v>1</v>
      </c>
      <c r="O1" s="49"/>
      <c r="P1" s="49"/>
      <c r="Q1" s="49"/>
      <c r="R1" s="49"/>
      <c r="S1" s="49"/>
    </row>
    <row r="2" spans="1:22" ht="20.100000000000001" customHeight="1" x14ac:dyDescent="0.25">
      <c r="A2" s="50" t="str">
        <f>IF(PREDVOLBY!$C$7="","",PREDVOLBY!$C$7)</f>
        <v>Název společnosti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22" ht="20.100000000000001" customHeight="1" x14ac:dyDescent="0.25">
      <c r="A3" s="51" t="s">
        <v>55</v>
      </c>
      <c r="B3" s="51"/>
      <c r="C3" s="52" t="s">
        <v>96</v>
      </c>
      <c r="D3" s="52"/>
      <c r="E3" s="52"/>
      <c r="F3" s="52"/>
      <c r="G3" s="51" t="s">
        <v>57</v>
      </c>
      <c r="H3" s="51"/>
      <c r="I3" s="52" t="str">
        <f>IF(OR(PREDVOLBY!$C$6="",PREDVOLBY!$C$6="Jméno a příjmení"),"DOPLŇTE ÚDAJE V KARTĚ PŘEDVOLBY",PREDVOLBY!$C$6)</f>
        <v>DOPLŇTE ÚDAJE V KARTĚ PŘEDVOLBY</v>
      </c>
      <c r="J3" s="52"/>
      <c r="K3" s="52"/>
      <c r="L3" s="52"/>
      <c r="M3" s="52"/>
      <c r="N3" s="52"/>
      <c r="O3" s="52"/>
      <c r="P3" s="52"/>
      <c r="Q3" s="52"/>
      <c r="R3" s="52"/>
      <c r="S3" s="52"/>
      <c r="U3" s="15">
        <v>46722</v>
      </c>
    </row>
    <row r="4" spans="1:22" ht="36" customHeight="1" x14ac:dyDescent="0.25">
      <c r="A4" s="53" t="s">
        <v>39</v>
      </c>
      <c r="B4" s="53" t="s">
        <v>58</v>
      </c>
      <c r="C4" s="53" t="s">
        <v>59</v>
      </c>
      <c r="D4" s="53"/>
      <c r="E4" s="53" t="s">
        <v>59</v>
      </c>
      <c r="F4" s="53"/>
      <c r="G4" s="53" t="s">
        <v>60</v>
      </c>
      <c r="H4" s="53" t="s">
        <v>61</v>
      </c>
      <c r="I4" s="53" t="s">
        <v>62</v>
      </c>
      <c r="J4" s="53" t="s">
        <v>63</v>
      </c>
      <c r="K4" s="53" t="s">
        <v>64</v>
      </c>
      <c r="L4" s="53"/>
      <c r="M4" s="53"/>
      <c r="N4" s="53"/>
      <c r="O4" s="53"/>
      <c r="P4" s="53"/>
      <c r="Q4" s="53" t="s">
        <v>65</v>
      </c>
      <c r="R4" s="53" t="s">
        <v>66</v>
      </c>
      <c r="S4" s="53" t="s">
        <v>67</v>
      </c>
      <c r="U4" t="s">
        <v>68</v>
      </c>
    </row>
    <row r="5" spans="1:22" ht="15.95" customHeight="1" x14ac:dyDescent="0.25">
      <c r="A5" s="53"/>
      <c r="B5" s="53"/>
      <c r="C5" s="16" t="s">
        <v>69</v>
      </c>
      <c r="D5" s="16" t="s">
        <v>70</v>
      </c>
      <c r="E5" s="16" t="s">
        <v>69</v>
      </c>
      <c r="F5" s="16" t="s">
        <v>70</v>
      </c>
      <c r="G5" s="53"/>
      <c r="H5" s="53"/>
      <c r="I5" s="53"/>
      <c r="J5" s="53"/>
      <c r="K5" s="16" t="s">
        <v>71</v>
      </c>
      <c r="L5" s="16" t="s">
        <v>72</v>
      </c>
      <c r="M5" s="16" t="s">
        <v>73</v>
      </c>
      <c r="N5" s="16" t="s">
        <v>74</v>
      </c>
      <c r="O5" s="16" t="s">
        <v>75</v>
      </c>
      <c r="P5" s="16" t="s">
        <v>76</v>
      </c>
      <c r="Q5" s="53"/>
      <c r="R5" s="53"/>
      <c r="S5" s="53"/>
      <c r="U5" t="s">
        <v>77</v>
      </c>
      <c r="V5" t="s">
        <v>78</v>
      </c>
    </row>
    <row r="6" spans="1:22" ht="15.6" customHeight="1" x14ac:dyDescent="0.25">
      <c r="A6" s="17">
        <f>IF(MONTH(DATE(PREDVOLBY!$C$8,12,1))=12,DATE(PREDVOLBY!$C$8,12,1),"")</f>
        <v>46722</v>
      </c>
      <c r="B6" s="18" t="str">
        <f t="shared" ref="B6:B36" si="0">IF($A6="","",CHOOSE(WEEKDAY($A6,2),"po","út","st","čt","pá","so","ne"))</f>
        <v>st</v>
      </c>
      <c r="C6" s="19">
        <f>IF(OR($A6="",$U6="Víkend"),"",IF($V6&gt;=1,"-",PREDVOLBY!$C$18))</f>
        <v>0.3125</v>
      </c>
      <c r="D6" s="19">
        <f>IF(OR($A6="",$U6="Víkend"),"",IF($V6&gt;=1,"-",PREDVOLBY!$C$19))</f>
        <v>0.47916666666666669</v>
      </c>
      <c r="E6" s="19">
        <f>IF(OR($A6="",$U6="Víkend"),"",IF($V6&gt;=0.5,"-",PREDVOLBY!$C$20))</f>
        <v>0.5</v>
      </c>
      <c r="F6" s="19">
        <f>IF(OR($A6="",$U6="Víkend"),"",IF($V6&gt;=0.5,"-",PREDVOLBY!$C$21))</f>
        <v>0.66666666666666663</v>
      </c>
      <c r="G6" s="20">
        <f t="shared" ref="G6:G36" si="1">IF(OR($A6="",$U6="Víkend"),"",IF(ISNUMBER($C6)+ISNUMBER($E6)=0,"-",ROUND((IF(ISNUMBER($C6),$D6-$C6,0)+IF(ISNUMBER($E6),$F6-$E6,0))*24,2)))</f>
        <v>8</v>
      </c>
      <c r="H6" s="20">
        <f>IF($G6="","",IF(ISNUMBER($G6),MAX(0,ROUND($G6-PREDVOLBY!$C$22*(1-$V6),2)),"-"))</f>
        <v>0</v>
      </c>
      <c r="I6" s="21">
        <f>IF($G6="","",IF(AND(ISNUMBER($G6),$J6=""),IF($G6&gt;=PREDVOLBY!$C$26,PREDVOLBY!$C$25,"-"),"-"))</f>
        <v>129.5</v>
      </c>
      <c r="J6" s="18"/>
      <c r="K6" s="18"/>
      <c r="L6" s="18"/>
      <c r="M6" s="18" t="str">
        <f t="shared" ref="M6:M36" si="2">IF($U6="Svátek",1,"")</f>
        <v/>
      </c>
      <c r="N6" s="18"/>
      <c r="O6" s="18"/>
      <c r="P6" s="18"/>
      <c r="Q6" s="18"/>
      <c r="R6" s="18"/>
      <c r="S6" s="22" t="str">
        <f>IF($U6="Svátek",IFERROR(INDEX(SVATKY_2027!$C$5:$C$22,MATCH($A6,SVATKY_2027!$B$5:$B$22,0)),""),"")</f>
        <v/>
      </c>
      <c r="U6" t="str">
        <f>IF($A6="","",IF(WEEKDAY($A6,2)&gt;5,"Víkend",IF(COUNTIF(SVATKY_2027!$B$5:$B$22,$A6)&gt;0,"Svátek","")))</f>
        <v/>
      </c>
      <c r="V6">
        <f t="shared" ref="V6:V36" si="3">IF(OR($A6="",$U6="Víkend"),0,IF($U6="Svátek",1,MIN(1,COUNTIF($K6:$P6,"x")+COUNTIF($K6:$P6,1)+0.5*COUNTIF($K6:$P6,0.5)+IF(OR($R6="x",$R6=1),1,IF($R6=0.5,0.5,0)))))</f>
        <v>0</v>
      </c>
    </row>
    <row r="7" spans="1:22" ht="15.6" customHeight="1" x14ac:dyDescent="0.25">
      <c r="A7" s="17">
        <f>IF(MONTH(DATE(PREDVOLBY!$C$8,12,2))=12,DATE(PREDVOLBY!$C$8,12,2),"")</f>
        <v>46723</v>
      </c>
      <c r="B7" s="18" t="str">
        <f t="shared" si="0"/>
        <v>čt</v>
      </c>
      <c r="C7" s="19">
        <f>IF(OR($A7="",$U7="Víkend"),"",IF($V7&gt;=1,"-",PREDVOLBY!$C$18))</f>
        <v>0.3125</v>
      </c>
      <c r="D7" s="19">
        <f>IF(OR($A7="",$U7="Víkend"),"",IF($V7&gt;=1,"-",PREDVOLBY!$C$19))</f>
        <v>0.47916666666666669</v>
      </c>
      <c r="E7" s="19">
        <f>IF(OR($A7="",$U7="Víkend"),"",IF($V7&gt;=0.5,"-",PREDVOLBY!$C$20))</f>
        <v>0.5</v>
      </c>
      <c r="F7" s="19">
        <f>IF(OR($A7="",$U7="Víkend"),"",IF($V7&gt;=0.5,"-",PREDVOLBY!$C$21))</f>
        <v>0.66666666666666663</v>
      </c>
      <c r="G7" s="20">
        <f t="shared" si="1"/>
        <v>8</v>
      </c>
      <c r="H7" s="20">
        <f>IF($G7="","",IF(ISNUMBER($G7),MAX(0,ROUND($G7-PREDVOLBY!$C$22*(1-$V7),2)),"-"))</f>
        <v>0</v>
      </c>
      <c r="I7" s="21">
        <f>IF($G7="","",IF(AND(ISNUMBER($G7),$J7=""),IF($G7&gt;=PREDVOLBY!$C$26,PREDVOLBY!$C$25,"-"),"-"))</f>
        <v>129.5</v>
      </c>
      <c r="J7" s="18"/>
      <c r="K7" s="18"/>
      <c r="L7" s="18"/>
      <c r="M7" s="18" t="str">
        <f t="shared" si="2"/>
        <v/>
      </c>
      <c r="N7" s="18"/>
      <c r="O7" s="18"/>
      <c r="P7" s="18"/>
      <c r="Q7" s="18"/>
      <c r="R7" s="18"/>
      <c r="S7" s="22" t="str">
        <f>IF($U7="Svátek",IFERROR(INDEX(SVATKY_2027!$C$5:$C$22,MATCH($A7,SVATKY_2027!$B$5:$B$22,0)),""),"")</f>
        <v/>
      </c>
      <c r="U7" t="str">
        <f>IF($A7="","",IF(WEEKDAY($A7,2)&gt;5,"Víkend",IF(COUNTIF(SVATKY_2027!$B$5:$B$22,$A7)&gt;0,"Svátek","")))</f>
        <v/>
      </c>
      <c r="V7">
        <f t="shared" si="3"/>
        <v>0</v>
      </c>
    </row>
    <row r="8" spans="1:22" ht="15.6" customHeight="1" x14ac:dyDescent="0.25">
      <c r="A8" s="17">
        <f>IF(MONTH(DATE(PREDVOLBY!$C$8,12,3))=12,DATE(PREDVOLBY!$C$8,12,3),"")</f>
        <v>46724</v>
      </c>
      <c r="B8" s="18" t="str">
        <f t="shared" si="0"/>
        <v>pá</v>
      </c>
      <c r="C8" s="19">
        <f>IF(OR($A8="",$U8="Víkend"),"",IF($V8&gt;=1,"-",PREDVOLBY!$C$18))</f>
        <v>0.3125</v>
      </c>
      <c r="D8" s="19">
        <f>IF(OR($A8="",$U8="Víkend"),"",IF($V8&gt;=1,"-",PREDVOLBY!$C$19))</f>
        <v>0.47916666666666669</v>
      </c>
      <c r="E8" s="19">
        <f>IF(OR($A8="",$U8="Víkend"),"",IF($V8&gt;=0.5,"-",PREDVOLBY!$C$20))</f>
        <v>0.5</v>
      </c>
      <c r="F8" s="19">
        <f>IF(OR($A8="",$U8="Víkend"),"",IF($V8&gt;=0.5,"-",PREDVOLBY!$C$21))</f>
        <v>0.66666666666666663</v>
      </c>
      <c r="G8" s="20">
        <f t="shared" si="1"/>
        <v>8</v>
      </c>
      <c r="H8" s="20">
        <f>IF($G8="","",IF(ISNUMBER($G8),MAX(0,ROUND($G8-PREDVOLBY!$C$22*(1-$V8),2)),"-"))</f>
        <v>0</v>
      </c>
      <c r="I8" s="21">
        <f>IF($G8="","",IF(AND(ISNUMBER($G8),$J8=""),IF($G8&gt;=PREDVOLBY!$C$26,PREDVOLBY!$C$25,"-"),"-"))</f>
        <v>129.5</v>
      </c>
      <c r="J8" s="18"/>
      <c r="K8" s="18"/>
      <c r="L8" s="18"/>
      <c r="M8" s="18" t="str">
        <f t="shared" si="2"/>
        <v/>
      </c>
      <c r="N8" s="18"/>
      <c r="O8" s="18"/>
      <c r="P8" s="18"/>
      <c r="Q8" s="18"/>
      <c r="R8" s="18"/>
      <c r="S8" s="22" t="str">
        <f>IF($U8="Svátek",IFERROR(INDEX(SVATKY_2027!$C$5:$C$22,MATCH($A8,SVATKY_2027!$B$5:$B$22,0)),""),"")</f>
        <v/>
      </c>
      <c r="U8" t="str">
        <f>IF($A8="","",IF(WEEKDAY($A8,2)&gt;5,"Víkend",IF(COUNTIF(SVATKY_2027!$B$5:$B$22,$A8)&gt;0,"Svátek","")))</f>
        <v/>
      </c>
      <c r="V8">
        <f t="shared" si="3"/>
        <v>0</v>
      </c>
    </row>
    <row r="9" spans="1:22" ht="15.6" customHeight="1" x14ac:dyDescent="0.25">
      <c r="A9" s="17">
        <f>IF(MONTH(DATE(PREDVOLBY!$C$8,12,4))=12,DATE(PREDVOLBY!$C$8,12,4),"")</f>
        <v>46725</v>
      </c>
      <c r="B9" s="18" t="str">
        <f t="shared" si="0"/>
        <v>so</v>
      </c>
      <c r="C9" s="19" t="str">
        <f>IF(OR($A9="",$U9="Víkend"),"",IF($V9&gt;=1,"-",PREDVOLBY!$C$18))</f>
        <v/>
      </c>
      <c r="D9" s="19" t="str">
        <f>IF(OR($A9="",$U9="Víkend"),"",IF($V9&gt;=1,"-",PREDVOLBY!$C$19))</f>
        <v/>
      </c>
      <c r="E9" s="19" t="str">
        <f>IF(OR($A9="",$U9="Víkend"),"",IF($V9&gt;=0.5,"-",PREDVOLBY!$C$20))</f>
        <v/>
      </c>
      <c r="F9" s="19" t="str">
        <f>IF(OR($A9="",$U9="Víkend"),"",IF($V9&gt;=0.5,"-",PREDVOLBY!$C$21))</f>
        <v/>
      </c>
      <c r="G9" s="20" t="str">
        <f t="shared" si="1"/>
        <v/>
      </c>
      <c r="H9" s="20" t="str">
        <f>IF($G9="","",IF(ISNUMBER($G9),MAX(0,ROUND($G9-PREDVOLBY!$C$22*(1-$V9),2)),"-"))</f>
        <v/>
      </c>
      <c r="I9" s="21" t="str">
        <f>IF($G9="","",IF(AND(ISNUMBER($G9),$J9=""),IF($G9&gt;=PREDVOLBY!$C$26,PREDVOLBY!$C$25,"-"),"-"))</f>
        <v/>
      </c>
      <c r="J9" s="18"/>
      <c r="K9" s="18"/>
      <c r="L9" s="18"/>
      <c r="M9" s="18" t="str">
        <f t="shared" si="2"/>
        <v/>
      </c>
      <c r="N9" s="18"/>
      <c r="O9" s="18"/>
      <c r="P9" s="18"/>
      <c r="Q9" s="18"/>
      <c r="R9" s="18"/>
      <c r="S9" s="22" t="str">
        <f>IF($U9="Svátek",IFERROR(INDEX(SVATKY_2027!$C$5:$C$22,MATCH($A9,SVATKY_2027!$B$5:$B$22,0)),""),"")</f>
        <v/>
      </c>
      <c r="U9" t="str">
        <f>IF($A9="","",IF(WEEKDAY($A9,2)&gt;5,"Víkend",IF(COUNTIF(SVATKY_2027!$B$5:$B$22,$A9)&gt;0,"Svátek","")))</f>
        <v>Víkend</v>
      </c>
      <c r="V9">
        <f t="shared" si="3"/>
        <v>0</v>
      </c>
    </row>
    <row r="10" spans="1:22" ht="15.6" customHeight="1" x14ac:dyDescent="0.25">
      <c r="A10" s="17">
        <f>IF(MONTH(DATE(PREDVOLBY!$C$8,12,5))=12,DATE(PREDVOLBY!$C$8,12,5),"")</f>
        <v>46726</v>
      </c>
      <c r="B10" s="18" t="str">
        <f t="shared" si="0"/>
        <v>ne</v>
      </c>
      <c r="C10" s="19" t="str">
        <f>IF(OR($A10="",$U10="Víkend"),"",IF($V10&gt;=1,"-",PREDVOLBY!$C$18))</f>
        <v/>
      </c>
      <c r="D10" s="19" t="str">
        <f>IF(OR($A10="",$U10="Víkend"),"",IF($V10&gt;=1,"-",PREDVOLBY!$C$19))</f>
        <v/>
      </c>
      <c r="E10" s="19" t="str">
        <f>IF(OR($A10="",$U10="Víkend"),"",IF($V10&gt;=0.5,"-",PREDVOLBY!$C$20))</f>
        <v/>
      </c>
      <c r="F10" s="19" t="str">
        <f>IF(OR($A10="",$U10="Víkend"),"",IF($V10&gt;=0.5,"-",PREDVOLBY!$C$21))</f>
        <v/>
      </c>
      <c r="G10" s="20" t="str">
        <f t="shared" si="1"/>
        <v/>
      </c>
      <c r="H10" s="20" t="str">
        <f>IF($G10="","",IF(ISNUMBER($G10),MAX(0,ROUND($G10-PREDVOLBY!$C$22*(1-$V10),2)),"-"))</f>
        <v/>
      </c>
      <c r="I10" s="21" t="str">
        <f>IF($G10="","",IF(AND(ISNUMBER($G10),$J10=""),IF($G10&gt;=PREDVOLBY!$C$26,PREDVOLBY!$C$25,"-"),"-"))</f>
        <v/>
      </c>
      <c r="J10" s="18"/>
      <c r="K10" s="18"/>
      <c r="L10" s="18"/>
      <c r="M10" s="18" t="str">
        <f t="shared" si="2"/>
        <v/>
      </c>
      <c r="N10" s="18"/>
      <c r="O10" s="18"/>
      <c r="P10" s="18"/>
      <c r="Q10" s="18"/>
      <c r="R10" s="18"/>
      <c r="S10" s="22" t="str">
        <f>IF($U10="Svátek",IFERROR(INDEX(SVATKY_2027!$C$5:$C$22,MATCH($A10,SVATKY_2027!$B$5:$B$22,0)),""),"")</f>
        <v/>
      </c>
      <c r="U10" t="str">
        <f>IF($A10="","",IF(WEEKDAY($A10,2)&gt;5,"Víkend",IF(COUNTIF(SVATKY_2027!$B$5:$B$22,$A10)&gt;0,"Svátek","")))</f>
        <v>Víkend</v>
      </c>
      <c r="V10">
        <f t="shared" si="3"/>
        <v>0</v>
      </c>
    </row>
    <row r="11" spans="1:22" ht="15.6" customHeight="1" x14ac:dyDescent="0.25">
      <c r="A11" s="17">
        <f>IF(MONTH(DATE(PREDVOLBY!$C$8,12,6))=12,DATE(PREDVOLBY!$C$8,12,6),"")</f>
        <v>46727</v>
      </c>
      <c r="B11" s="18" t="str">
        <f t="shared" si="0"/>
        <v>po</v>
      </c>
      <c r="C11" s="19">
        <f>IF(OR($A11="",$U11="Víkend"),"",IF($V11&gt;=1,"-",PREDVOLBY!$C$18))</f>
        <v>0.3125</v>
      </c>
      <c r="D11" s="19">
        <f>IF(OR($A11="",$U11="Víkend"),"",IF($V11&gt;=1,"-",PREDVOLBY!$C$19))</f>
        <v>0.47916666666666669</v>
      </c>
      <c r="E11" s="19">
        <f>IF(OR($A11="",$U11="Víkend"),"",IF($V11&gt;=0.5,"-",PREDVOLBY!$C$20))</f>
        <v>0.5</v>
      </c>
      <c r="F11" s="19">
        <f>IF(OR($A11="",$U11="Víkend"),"",IF($V11&gt;=0.5,"-",PREDVOLBY!$C$21))</f>
        <v>0.66666666666666663</v>
      </c>
      <c r="G11" s="20">
        <f t="shared" si="1"/>
        <v>8</v>
      </c>
      <c r="H11" s="20">
        <f>IF($G11="","",IF(ISNUMBER($G11),MAX(0,ROUND($G11-PREDVOLBY!$C$22*(1-$V11),2)),"-"))</f>
        <v>0</v>
      </c>
      <c r="I11" s="21">
        <f>IF($G11="","",IF(AND(ISNUMBER($G11),$J11=""),IF($G11&gt;=PREDVOLBY!$C$26,PREDVOLBY!$C$25,"-"),"-"))</f>
        <v>129.5</v>
      </c>
      <c r="J11" s="18"/>
      <c r="K11" s="18"/>
      <c r="L11" s="18"/>
      <c r="M11" s="18" t="str">
        <f t="shared" si="2"/>
        <v/>
      </c>
      <c r="N11" s="18"/>
      <c r="O11" s="18"/>
      <c r="P11" s="18"/>
      <c r="Q11" s="18"/>
      <c r="R11" s="18"/>
      <c r="S11" s="22" t="str">
        <f>IF($U11="Svátek",IFERROR(INDEX(SVATKY_2027!$C$5:$C$22,MATCH($A11,SVATKY_2027!$B$5:$B$22,0)),""),"")</f>
        <v/>
      </c>
      <c r="U11" t="str">
        <f>IF($A11="","",IF(WEEKDAY($A11,2)&gt;5,"Víkend",IF(COUNTIF(SVATKY_2027!$B$5:$B$22,$A11)&gt;0,"Svátek","")))</f>
        <v/>
      </c>
      <c r="V11">
        <f t="shared" si="3"/>
        <v>0</v>
      </c>
    </row>
    <row r="12" spans="1:22" ht="15.6" customHeight="1" x14ac:dyDescent="0.25">
      <c r="A12" s="17">
        <f>IF(MONTH(DATE(PREDVOLBY!$C$8,12,7))=12,DATE(PREDVOLBY!$C$8,12,7),"")</f>
        <v>46728</v>
      </c>
      <c r="B12" s="18" t="str">
        <f t="shared" si="0"/>
        <v>út</v>
      </c>
      <c r="C12" s="19">
        <f>IF(OR($A12="",$U12="Víkend"),"",IF($V12&gt;=1,"-",PREDVOLBY!$C$18))</f>
        <v>0.3125</v>
      </c>
      <c r="D12" s="19">
        <f>IF(OR($A12="",$U12="Víkend"),"",IF($V12&gt;=1,"-",PREDVOLBY!$C$19))</f>
        <v>0.47916666666666669</v>
      </c>
      <c r="E12" s="19">
        <f>IF(OR($A12="",$U12="Víkend"),"",IF($V12&gt;=0.5,"-",PREDVOLBY!$C$20))</f>
        <v>0.5</v>
      </c>
      <c r="F12" s="19">
        <f>IF(OR($A12="",$U12="Víkend"),"",IF($V12&gt;=0.5,"-",PREDVOLBY!$C$21))</f>
        <v>0.66666666666666663</v>
      </c>
      <c r="G12" s="20">
        <f t="shared" si="1"/>
        <v>8</v>
      </c>
      <c r="H12" s="20">
        <f>IF($G12="","",IF(ISNUMBER($G12),MAX(0,ROUND($G12-PREDVOLBY!$C$22*(1-$V12),2)),"-"))</f>
        <v>0</v>
      </c>
      <c r="I12" s="21">
        <f>IF($G12="","",IF(AND(ISNUMBER($G12),$J12=""),IF($G12&gt;=PREDVOLBY!$C$26,PREDVOLBY!$C$25,"-"),"-"))</f>
        <v>129.5</v>
      </c>
      <c r="J12" s="18"/>
      <c r="K12" s="18"/>
      <c r="L12" s="18"/>
      <c r="M12" s="18" t="str">
        <f t="shared" si="2"/>
        <v/>
      </c>
      <c r="N12" s="18"/>
      <c r="O12" s="18"/>
      <c r="P12" s="18"/>
      <c r="Q12" s="18"/>
      <c r="R12" s="18"/>
      <c r="S12" s="22" t="str">
        <f>IF($U12="Svátek",IFERROR(INDEX(SVATKY_2027!$C$5:$C$22,MATCH($A12,SVATKY_2027!$B$5:$B$22,0)),""),"")</f>
        <v/>
      </c>
      <c r="U12" t="str">
        <f>IF($A12="","",IF(WEEKDAY($A12,2)&gt;5,"Víkend",IF(COUNTIF(SVATKY_2027!$B$5:$B$22,$A12)&gt;0,"Svátek","")))</f>
        <v/>
      </c>
      <c r="V12">
        <f t="shared" si="3"/>
        <v>0</v>
      </c>
    </row>
    <row r="13" spans="1:22" ht="15.6" customHeight="1" x14ac:dyDescent="0.25">
      <c r="A13" s="17">
        <f>IF(MONTH(DATE(PREDVOLBY!$C$8,12,8))=12,DATE(PREDVOLBY!$C$8,12,8),"")</f>
        <v>46729</v>
      </c>
      <c r="B13" s="18" t="str">
        <f t="shared" si="0"/>
        <v>st</v>
      </c>
      <c r="C13" s="19">
        <f>IF(OR($A13="",$U13="Víkend"),"",IF($V13&gt;=1,"-",PREDVOLBY!$C$18))</f>
        <v>0.3125</v>
      </c>
      <c r="D13" s="19">
        <f>IF(OR($A13="",$U13="Víkend"),"",IF($V13&gt;=1,"-",PREDVOLBY!$C$19))</f>
        <v>0.47916666666666669</v>
      </c>
      <c r="E13" s="19">
        <f>IF(OR($A13="",$U13="Víkend"),"",IF($V13&gt;=0.5,"-",PREDVOLBY!$C$20))</f>
        <v>0.5</v>
      </c>
      <c r="F13" s="19">
        <f>IF(OR($A13="",$U13="Víkend"),"",IF($V13&gt;=0.5,"-",PREDVOLBY!$C$21))</f>
        <v>0.66666666666666663</v>
      </c>
      <c r="G13" s="20">
        <f t="shared" si="1"/>
        <v>8</v>
      </c>
      <c r="H13" s="20">
        <f>IF($G13="","",IF(ISNUMBER($G13),MAX(0,ROUND($G13-PREDVOLBY!$C$22*(1-$V13),2)),"-"))</f>
        <v>0</v>
      </c>
      <c r="I13" s="21">
        <f>IF($G13="","",IF(AND(ISNUMBER($G13),$J13=""),IF($G13&gt;=PREDVOLBY!$C$26,PREDVOLBY!$C$25,"-"),"-"))</f>
        <v>129.5</v>
      </c>
      <c r="J13" s="18"/>
      <c r="K13" s="18"/>
      <c r="L13" s="18"/>
      <c r="M13" s="18" t="str">
        <f t="shared" si="2"/>
        <v/>
      </c>
      <c r="N13" s="18"/>
      <c r="O13" s="18"/>
      <c r="P13" s="18"/>
      <c r="Q13" s="18"/>
      <c r="R13" s="18"/>
      <c r="S13" s="22" t="str">
        <f>IF($U13="Svátek",IFERROR(INDEX(SVATKY_2027!$C$5:$C$22,MATCH($A13,SVATKY_2027!$B$5:$B$22,0)),""),"")</f>
        <v/>
      </c>
      <c r="U13" t="str">
        <f>IF($A13="","",IF(WEEKDAY($A13,2)&gt;5,"Víkend",IF(COUNTIF(SVATKY_2027!$B$5:$B$22,$A13)&gt;0,"Svátek","")))</f>
        <v/>
      </c>
      <c r="V13">
        <f t="shared" si="3"/>
        <v>0</v>
      </c>
    </row>
    <row r="14" spans="1:22" ht="15.6" customHeight="1" x14ac:dyDescent="0.25">
      <c r="A14" s="17">
        <f>IF(MONTH(DATE(PREDVOLBY!$C$8,12,9))=12,DATE(PREDVOLBY!$C$8,12,9),"")</f>
        <v>46730</v>
      </c>
      <c r="B14" s="18" t="str">
        <f t="shared" si="0"/>
        <v>čt</v>
      </c>
      <c r="C14" s="19">
        <f>IF(OR($A14="",$U14="Víkend"),"",IF($V14&gt;=1,"-",PREDVOLBY!$C$18))</f>
        <v>0.3125</v>
      </c>
      <c r="D14" s="19">
        <f>IF(OR($A14="",$U14="Víkend"),"",IF($V14&gt;=1,"-",PREDVOLBY!$C$19))</f>
        <v>0.47916666666666669</v>
      </c>
      <c r="E14" s="19">
        <f>IF(OR($A14="",$U14="Víkend"),"",IF($V14&gt;=0.5,"-",PREDVOLBY!$C$20))</f>
        <v>0.5</v>
      </c>
      <c r="F14" s="19">
        <f>IF(OR($A14="",$U14="Víkend"),"",IF($V14&gt;=0.5,"-",PREDVOLBY!$C$21))</f>
        <v>0.66666666666666663</v>
      </c>
      <c r="G14" s="20">
        <f t="shared" si="1"/>
        <v>8</v>
      </c>
      <c r="H14" s="20">
        <f>IF($G14="","",IF(ISNUMBER($G14),MAX(0,ROUND($G14-PREDVOLBY!$C$22*(1-$V14),2)),"-"))</f>
        <v>0</v>
      </c>
      <c r="I14" s="21">
        <f>IF($G14="","",IF(AND(ISNUMBER($G14),$J14=""),IF($G14&gt;=PREDVOLBY!$C$26,PREDVOLBY!$C$25,"-"),"-"))</f>
        <v>129.5</v>
      </c>
      <c r="J14" s="18"/>
      <c r="K14" s="18"/>
      <c r="L14" s="18"/>
      <c r="M14" s="18" t="str">
        <f t="shared" si="2"/>
        <v/>
      </c>
      <c r="N14" s="18"/>
      <c r="O14" s="18"/>
      <c r="P14" s="18"/>
      <c r="Q14" s="18"/>
      <c r="R14" s="18"/>
      <c r="S14" s="22" t="str">
        <f>IF($U14="Svátek",IFERROR(INDEX(SVATKY_2027!$C$5:$C$22,MATCH($A14,SVATKY_2027!$B$5:$B$22,0)),""),"")</f>
        <v/>
      </c>
      <c r="U14" t="str">
        <f>IF($A14="","",IF(WEEKDAY($A14,2)&gt;5,"Víkend",IF(COUNTIF(SVATKY_2027!$B$5:$B$22,$A14)&gt;0,"Svátek","")))</f>
        <v/>
      </c>
      <c r="V14">
        <f t="shared" si="3"/>
        <v>0</v>
      </c>
    </row>
    <row r="15" spans="1:22" ht="15.6" customHeight="1" x14ac:dyDescent="0.25">
      <c r="A15" s="17">
        <f>IF(MONTH(DATE(PREDVOLBY!$C$8,12,10))=12,DATE(PREDVOLBY!$C$8,12,10),"")</f>
        <v>46731</v>
      </c>
      <c r="B15" s="18" t="str">
        <f t="shared" si="0"/>
        <v>pá</v>
      </c>
      <c r="C15" s="19">
        <f>IF(OR($A15="",$U15="Víkend"),"",IF($V15&gt;=1,"-",PREDVOLBY!$C$18))</f>
        <v>0.3125</v>
      </c>
      <c r="D15" s="19">
        <f>IF(OR($A15="",$U15="Víkend"),"",IF($V15&gt;=1,"-",PREDVOLBY!$C$19))</f>
        <v>0.47916666666666669</v>
      </c>
      <c r="E15" s="19">
        <f>IF(OR($A15="",$U15="Víkend"),"",IF($V15&gt;=0.5,"-",PREDVOLBY!$C$20))</f>
        <v>0.5</v>
      </c>
      <c r="F15" s="19">
        <f>IF(OR($A15="",$U15="Víkend"),"",IF($V15&gt;=0.5,"-",PREDVOLBY!$C$21))</f>
        <v>0.66666666666666663</v>
      </c>
      <c r="G15" s="20">
        <f t="shared" si="1"/>
        <v>8</v>
      </c>
      <c r="H15" s="20">
        <f>IF($G15="","",IF(ISNUMBER($G15),MAX(0,ROUND($G15-PREDVOLBY!$C$22*(1-$V15),2)),"-"))</f>
        <v>0</v>
      </c>
      <c r="I15" s="21">
        <f>IF($G15="","",IF(AND(ISNUMBER($G15),$J15=""),IF($G15&gt;=PREDVOLBY!$C$26,PREDVOLBY!$C$25,"-"),"-"))</f>
        <v>129.5</v>
      </c>
      <c r="J15" s="18"/>
      <c r="K15" s="18"/>
      <c r="L15" s="18"/>
      <c r="M15" s="18" t="str">
        <f t="shared" si="2"/>
        <v/>
      </c>
      <c r="N15" s="18"/>
      <c r="O15" s="18"/>
      <c r="P15" s="18"/>
      <c r="Q15" s="18"/>
      <c r="R15" s="18"/>
      <c r="S15" s="22" t="str">
        <f>IF($U15="Svátek",IFERROR(INDEX(SVATKY_2027!$C$5:$C$22,MATCH($A15,SVATKY_2027!$B$5:$B$22,0)),""),"")</f>
        <v/>
      </c>
      <c r="U15" t="str">
        <f>IF($A15="","",IF(WEEKDAY($A15,2)&gt;5,"Víkend",IF(COUNTIF(SVATKY_2027!$B$5:$B$22,$A15)&gt;0,"Svátek","")))</f>
        <v/>
      </c>
      <c r="V15">
        <f t="shared" si="3"/>
        <v>0</v>
      </c>
    </row>
    <row r="16" spans="1:22" ht="15.6" customHeight="1" x14ac:dyDescent="0.25">
      <c r="A16" s="17">
        <f>IF(MONTH(DATE(PREDVOLBY!$C$8,12,11))=12,DATE(PREDVOLBY!$C$8,12,11),"")</f>
        <v>46732</v>
      </c>
      <c r="B16" s="18" t="str">
        <f t="shared" si="0"/>
        <v>so</v>
      </c>
      <c r="C16" s="19" t="str">
        <f>IF(OR($A16="",$U16="Víkend"),"",IF($V16&gt;=1,"-",PREDVOLBY!$C$18))</f>
        <v/>
      </c>
      <c r="D16" s="19" t="str">
        <f>IF(OR($A16="",$U16="Víkend"),"",IF($V16&gt;=1,"-",PREDVOLBY!$C$19))</f>
        <v/>
      </c>
      <c r="E16" s="19" t="str">
        <f>IF(OR($A16="",$U16="Víkend"),"",IF($V16&gt;=0.5,"-",PREDVOLBY!$C$20))</f>
        <v/>
      </c>
      <c r="F16" s="19" t="str">
        <f>IF(OR($A16="",$U16="Víkend"),"",IF($V16&gt;=0.5,"-",PREDVOLBY!$C$21))</f>
        <v/>
      </c>
      <c r="G16" s="20" t="str">
        <f t="shared" si="1"/>
        <v/>
      </c>
      <c r="H16" s="20" t="str">
        <f>IF($G16="","",IF(ISNUMBER($G16),MAX(0,ROUND($G16-PREDVOLBY!$C$22*(1-$V16),2)),"-"))</f>
        <v/>
      </c>
      <c r="I16" s="21" t="str">
        <f>IF($G16="","",IF(AND(ISNUMBER($G16),$J16=""),IF($G16&gt;=PREDVOLBY!$C$26,PREDVOLBY!$C$25,"-"),"-"))</f>
        <v/>
      </c>
      <c r="J16" s="18"/>
      <c r="K16" s="18"/>
      <c r="L16" s="18"/>
      <c r="M16" s="18" t="str">
        <f t="shared" si="2"/>
        <v/>
      </c>
      <c r="N16" s="18"/>
      <c r="O16" s="18"/>
      <c r="P16" s="18"/>
      <c r="Q16" s="18"/>
      <c r="R16" s="18"/>
      <c r="S16" s="22" t="str">
        <f>IF($U16="Svátek",IFERROR(INDEX(SVATKY_2027!$C$5:$C$22,MATCH($A16,SVATKY_2027!$B$5:$B$22,0)),""),"")</f>
        <v/>
      </c>
      <c r="U16" t="str">
        <f>IF($A16="","",IF(WEEKDAY($A16,2)&gt;5,"Víkend",IF(COUNTIF(SVATKY_2027!$B$5:$B$22,$A16)&gt;0,"Svátek","")))</f>
        <v>Víkend</v>
      </c>
      <c r="V16">
        <f t="shared" si="3"/>
        <v>0</v>
      </c>
    </row>
    <row r="17" spans="1:22" ht="15.6" customHeight="1" x14ac:dyDescent="0.25">
      <c r="A17" s="17">
        <f>IF(MONTH(DATE(PREDVOLBY!$C$8,12,12))=12,DATE(PREDVOLBY!$C$8,12,12),"")</f>
        <v>46733</v>
      </c>
      <c r="B17" s="18" t="str">
        <f t="shared" si="0"/>
        <v>ne</v>
      </c>
      <c r="C17" s="19" t="str">
        <f>IF(OR($A17="",$U17="Víkend"),"",IF($V17&gt;=1,"-",PREDVOLBY!$C$18))</f>
        <v/>
      </c>
      <c r="D17" s="19" t="str">
        <f>IF(OR($A17="",$U17="Víkend"),"",IF($V17&gt;=1,"-",PREDVOLBY!$C$19))</f>
        <v/>
      </c>
      <c r="E17" s="19" t="str">
        <f>IF(OR($A17="",$U17="Víkend"),"",IF($V17&gt;=0.5,"-",PREDVOLBY!$C$20))</f>
        <v/>
      </c>
      <c r="F17" s="19" t="str">
        <f>IF(OR($A17="",$U17="Víkend"),"",IF($V17&gt;=0.5,"-",PREDVOLBY!$C$21))</f>
        <v/>
      </c>
      <c r="G17" s="20" t="str">
        <f t="shared" si="1"/>
        <v/>
      </c>
      <c r="H17" s="20" t="str">
        <f>IF($G17="","",IF(ISNUMBER($G17),MAX(0,ROUND($G17-PREDVOLBY!$C$22*(1-$V17),2)),"-"))</f>
        <v/>
      </c>
      <c r="I17" s="21" t="str">
        <f>IF($G17="","",IF(AND(ISNUMBER($G17),$J17=""),IF($G17&gt;=PREDVOLBY!$C$26,PREDVOLBY!$C$25,"-"),"-"))</f>
        <v/>
      </c>
      <c r="J17" s="18"/>
      <c r="K17" s="18"/>
      <c r="L17" s="18"/>
      <c r="M17" s="18" t="str">
        <f t="shared" si="2"/>
        <v/>
      </c>
      <c r="N17" s="18"/>
      <c r="O17" s="18"/>
      <c r="P17" s="18"/>
      <c r="Q17" s="18"/>
      <c r="R17" s="18"/>
      <c r="S17" s="22" t="str">
        <f>IF($U17="Svátek",IFERROR(INDEX(SVATKY_2027!$C$5:$C$22,MATCH($A17,SVATKY_2027!$B$5:$B$22,0)),""),"")</f>
        <v/>
      </c>
      <c r="U17" t="str">
        <f>IF($A17="","",IF(WEEKDAY($A17,2)&gt;5,"Víkend",IF(COUNTIF(SVATKY_2027!$B$5:$B$22,$A17)&gt;0,"Svátek","")))</f>
        <v>Víkend</v>
      </c>
      <c r="V17">
        <f t="shared" si="3"/>
        <v>0</v>
      </c>
    </row>
    <row r="18" spans="1:22" ht="15.6" customHeight="1" x14ac:dyDescent="0.25">
      <c r="A18" s="17">
        <f>IF(MONTH(DATE(PREDVOLBY!$C$8,12,13))=12,DATE(PREDVOLBY!$C$8,12,13),"")</f>
        <v>46734</v>
      </c>
      <c r="B18" s="18" t="str">
        <f t="shared" si="0"/>
        <v>po</v>
      </c>
      <c r="C18" s="19">
        <f>IF(OR($A18="",$U18="Víkend"),"",IF($V18&gt;=1,"-",PREDVOLBY!$C$18))</f>
        <v>0.3125</v>
      </c>
      <c r="D18" s="19">
        <f>IF(OR($A18="",$U18="Víkend"),"",IF($V18&gt;=1,"-",PREDVOLBY!$C$19))</f>
        <v>0.47916666666666669</v>
      </c>
      <c r="E18" s="19">
        <f>IF(OR($A18="",$U18="Víkend"),"",IF($V18&gt;=0.5,"-",PREDVOLBY!$C$20))</f>
        <v>0.5</v>
      </c>
      <c r="F18" s="19">
        <f>IF(OR($A18="",$U18="Víkend"),"",IF($V18&gt;=0.5,"-",PREDVOLBY!$C$21))</f>
        <v>0.66666666666666663</v>
      </c>
      <c r="G18" s="20">
        <f t="shared" si="1"/>
        <v>8</v>
      </c>
      <c r="H18" s="20">
        <f>IF($G18="","",IF(ISNUMBER($G18),MAX(0,ROUND($G18-PREDVOLBY!$C$22*(1-$V18),2)),"-"))</f>
        <v>0</v>
      </c>
      <c r="I18" s="21">
        <f>IF($G18="","",IF(AND(ISNUMBER($G18),$J18=""),IF($G18&gt;=PREDVOLBY!$C$26,PREDVOLBY!$C$25,"-"),"-"))</f>
        <v>129.5</v>
      </c>
      <c r="J18" s="18"/>
      <c r="K18" s="18"/>
      <c r="L18" s="18"/>
      <c r="M18" s="18" t="str">
        <f t="shared" si="2"/>
        <v/>
      </c>
      <c r="N18" s="18"/>
      <c r="O18" s="18"/>
      <c r="P18" s="18"/>
      <c r="Q18" s="18"/>
      <c r="R18" s="18"/>
      <c r="S18" s="22" t="str">
        <f>IF($U18="Svátek",IFERROR(INDEX(SVATKY_2027!$C$5:$C$22,MATCH($A18,SVATKY_2027!$B$5:$B$22,0)),""),"")</f>
        <v/>
      </c>
      <c r="U18" t="str">
        <f>IF($A18="","",IF(WEEKDAY($A18,2)&gt;5,"Víkend",IF(COUNTIF(SVATKY_2027!$B$5:$B$22,$A18)&gt;0,"Svátek","")))</f>
        <v/>
      </c>
      <c r="V18">
        <f t="shared" si="3"/>
        <v>0</v>
      </c>
    </row>
    <row r="19" spans="1:22" ht="15.6" customHeight="1" x14ac:dyDescent="0.25">
      <c r="A19" s="17">
        <f>IF(MONTH(DATE(PREDVOLBY!$C$8,12,14))=12,DATE(PREDVOLBY!$C$8,12,14),"")</f>
        <v>46735</v>
      </c>
      <c r="B19" s="18" t="str">
        <f t="shared" si="0"/>
        <v>út</v>
      </c>
      <c r="C19" s="19">
        <f>IF(OR($A19="",$U19="Víkend"),"",IF($V19&gt;=1,"-",PREDVOLBY!$C$18))</f>
        <v>0.3125</v>
      </c>
      <c r="D19" s="19">
        <f>IF(OR($A19="",$U19="Víkend"),"",IF($V19&gt;=1,"-",PREDVOLBY!$C$19))</f>
        <v>0.47916666666666669</v>
      </c>
      <c r="E19" s="19">
        <f>IF(OR($A19="",$U19="Víkend"),"",IF($V19&gt;=0.5,"-",PREDVOLBY!$C$20))</f>
        <v>0.5</v>
      </c>
      <c r="F19" s="19">
        <f>IF(OR($A19="",$U19="Víkend"),"",IF($V19&gt;=0.5,"-",PREDVOLBY!$C$21))</f>
        <v>0.66666666666666663</v>
      </c>
      <c r="G19" s="20">
        <f t="shared" si="1"/>
        <v>8</v>
      </c>
      <c r="H19" s="20">
        <f>IF($G19="","",IF(ISNUMBER($G19),MAX(0,ROUND($G19-PREDVOLBY!$C$22*(1-$V19),2)),"-"))</f>
        <v>0</v>
      </c>
      <c r="I19" s="21">
        <f>IF($G19="","",IF(AND(ISNUMBER($G19),$J19=""),IF($G19&gt;=PREDVOLBY!$C$26,PREDVOLBY!$C$25,"-"),"-"))</f>
        <v>129.5</v>
      </c>
      <c r="J19" s="18"/>
      <c r="K19" s="18"/>
      <c r="L19" s="18"/>
      <c r="M19" s="18" t="str">
        <f t="shared" si="2"/>
        <v/>
      </c>
      <c r="N19" s="18"/>
      <c r="O19" s="18"/>
      <c r="P19" s="18"/>
      <c r="Q19" s="18"/>
      <c r="R19" s="18"/>
      <c r="S19" s="22" t="str">
        <f>IF($U19="Svátek",IFERROR(INDEX(SVATKY_2027!$C$5:$C$22,MATCH($A19,SVATKY_2027!$B$5:$B$22,0)),""),"")</f>
        <v/>
      </c>
      <c r="U19" t="str">
        <f>IF($A19="","",IF(WEEKDAY($A19,2)&gt;5,"Víkend",IF(COUNTIF(SVATKY_2027!$B$5:$B$22,$A19)&gt;0,"Svátek","")))</f>
        <v/>
      </c>
      <c r="V19">
        <f t="shared" si="3"/>
        <v>0</v>
      </c>
    </row>
    <row r="20" spans="1:22" ht="15.6" customHeight="1" x14ac:dyDescent="0.25">
      <c r="A20" s="17">
        <f>IF(MONTH(DATE(PREDVOLBY!$C$8,12,15))=12,DATE(PREDVOLBY!$C$8,12,15),"")</f>
        <v>46736</v>
      </c>
      <c r="B20" s="18" t="str">
        <f t="shared" si="0"/>
        <v>st</v>
      </c>
      <c r="C20" s="19">
        <f>IF(OR($A20="",$U20="Víkend"),"",IF($V20&gt;=1,"-",PREDVOLBY!$C$18))</f>
        <v>0.3125</v>
      </c>
      <c r="D20" s="19">
        <f>IF(OR($A20="",$U20="Víkend"),"",IF($V20&gt;=1,"-",PREDVOLBY!$C$19))</f>
        <v>0.47916666666666669</v>
      </c>
      <c r="E20" s="19">
        <f>IF(OR($A20="",$U20="Víkend"),"",IF($V20&gt;=0.5,"-",PREDVOLBY!$C$20))</f>
        <v>0.5</v>
      </c>
      <c r="F20" s="19">
        <f>IF(OR($A20="",$U20="Víkend"),"",IF($V20&gt;=0.5,"-",PREDVOLBY!$C$21))</f>
        <v>0.66666666666666663</v>
      </c>
      <c r="G20" s="20">
        <f t="shared" si="1"/>
        <v>8</v>
      </c>
      <c r="H20" s="20">
        <f>IF($G20="","",IF(ISNUMBER($G20),MAX(0,ROUND($G20-PREDVOLBY!$C$22*(1-$V20),2)),"-"))</f>
        <v>0</v>
      </c>
      <c r="I20" s="21">
        <f>IF($G20="","",IF(AND(ISNUMBER($G20),$J20=""),IF($G20&gt;=PREDVOLBY!$C$26,PREDVOLBY!$C$25,"-"),"-"))</f>
        <v>129.5</v>
      </c>
      <c r="J20" s="18"/>
      <c r="K20" s="18"/>
      <c r="L20" s="18"/>
      <c r="M20" s="18" t="str">
        <f t="shared" si="2"/>
        <v/>
      </c>
      <c r="N20" s="18"/>
      <c r="O20" s="18"/>
      <c r="P20" s="18"/>
      <c r="Q20" s="18"/>
      <c r="R20" s="18"/>
      <c r="S20" s="22" t="str">
        <f>IF($U20="Svátek",IFERROR(INDEX(SVATKY_2027!$C$5:$C$22,MATCH($A20,SVATKY_2027!$B$5:$B$22,0)),""),"")</f>
        <v/>
      </c>
      <c r="U20" t="str">
        <f>IF($A20="","",IF(WEEKDAY($A20,2)&gt;5,"Víkend",IF(COUNTIF(SVATKY_2027!$B$5:$B$22,$A20)&gt;0,"Svátek","")))</f>
        <v/>
      </c>
      <c r="V20">
        <f t="shared" si="3"/>
        <v>0</v>
      </c>
    </row>
    <row r="21" spans="1:22" ht="15.6" customHeight="1" x14ac:dyDescent="0.25">
      <c r="A21" s="17">
        <f>IF(MONTH(DATE(PREDVOLBY!$C$8,12,16))=12,DATE(PREDVOLBY!$C$8,12,16),"")</f>
        <v>46737</v>
      </c>
      <c r="B21" s="18" t="str">
        <f t="shared" si="0"/>
        <v>čt</v>
      </c>
      <c r="C21" s="19">
        <f>IF(OR($A21="",$U21="Víkend"),"",IF($V21&gt;=1,"-",PREDVOLBY!$C$18))</f>
        <v>0.3125</v>
      </c>
      <c r="D21" s="19">
        <f>IF(OR($A21="",$U21="Víkend"),"",IF($V21&gt;=1,"-",PREDVOLBY!$C$19))</f>
        <v>0.47916666666666669</v>
      </c>
      <c r="E21" s="19">
        <f>IF(OR($A21="",$U21="Víkend"),"",IF($V21&gt;=0.5,"-",PREDVOLBY!$C$20))</f>
        <v>0.5</v>
      </c>
      <c r="F21" s="19">
        <f>IF(OR($A21="",$U21="Víkend"),"",IF($V21&gt;=0.5,"-",PREDVOLBY!$C$21))</f>
        <v>0.66666666666666663</v>
      </c>
      <c r="G21" s="20">
        <f t="shared" si="1"/>
        <v>8</v>
      </c>
      <c r="H21" s="20">
        <f>IF($G21="","",IF(ISNUMBER($G21),MAX(0,ROUND($G21-PREDVOLBY!$C$22*(1-$V21),2)),"-"))</f>
        <v>0</v>
      </c>
      <c r="I21" s="21">
        <f>IF($G21="","",IF(AND(ISNUMBER($G21),$J21=""),IF($G21&gt;=PREDVOLBY!$C$26,PREDVOLBY!$C$25,"-"),"-"))</f>
        <v>129.5</v>
      </c>
      <c r="J21" s="18"/>
      <c r="K21" s="18"/>
      <c r="L21" s="18"/>
      <c r="M21" s="18" t="str">
        <f t="shared" si="2"/>
        <v/>
      </c>
      <c r="N21" s="18"/>
      <c r="O21" s="18"/>
      <c r="P21" s="18"/>
      <c r="Q21" s="18"/>
      <c r="R21" s="18"/>
      <c r="S21" s="22" t="str">
        <f>IF($U21="Svátek",IFERROR(INDEX(SVATKY_2027!$C$5:$C$22,MATCH($A21,SVATKY_2027!$B$5:$B$22,0)),""),"")</f>
        <v/>
      </c>
      <c r="U21" t="str">
        <f>IF($A21="","",IF(WEEKDAY($A21,2)&gt;5,"Víkend",IF(COUNTIF(SVATKY_2027!$B$5:$B$22,$A21)&gt;0,"Svátek","")))</f>
        <v/>
      </c>
      <c r="V21">
        <f t="shared" si="3"/>
        <v>0</v>
      </c>
    </row>
    <row r="22" spans="1:22" ht="15.6" customHeight="1" x14ac:dyDescent="0.25">
      <c r="A22" s="17">
        <f>IF(MONTH(DATE(PREDVOLBY!$C$8,12,17))=12,DATE(PREDVOLBY!$C$8,12,17),"")</f>
        <v>46738</v>
      </c>
      <c r="B22" s="18" t="str">
        <f t="shared" si="0"/>
        <v>pá</v>
      </c>
      <c r="C22" s="19">
        <f>IF(OR($A22="",$U22="Víkend"),"",IF($V22&gt;=1,"-",PREDVOLBY!$C$18))</f>
        <v>0.3125</v>
      </c>
      <c r="D22" s="19">
        <f>IF(OR($A22="",$U22="Víkend"),"",IF($V22&gt;=1,"-",PREDVOLBY!$C$19))</f>
        <v>0.47916666666666669</v>
      </c>
      <c r="E22" s="19">
        <f>IF(OR($A22="",$U22="Víkend"),"",IF($V22&gt;=0.5,"-",PREDVOLBY!$C$20))</f>
        <v>0.5</v>
      </c>
      <c r="F22" s="19">
        <f>IF(OR($A22="",$U22="Víkend"),"",IF($V22&gt;=0.5,"-",PREDVOLBY!$C$21))</f>
        <v>0.66666666666666663</v>
      </c>
      <c r="G22" s="20">
        <f t="shared" si="1"/>
        <v>8</v>
      </c>
      <c r="H22" s="20">
        <f>IF($G22="","",IF(ISNUMBER($G22),MAX(0,ROUND($G22-PREDVOLBY!$C$22*(1-$V22),2)),"-"))</f>
        <v>0</v>
      </c>
      <c r="I22" s="21">
        <f>IF($G22="","",IF(AND(ISNUMBER($G22),$J22=""),IF($G22&gt;=PREDVOLBY!$C$26,PREDVOLBY!$C$25,"-"),"-"))</f>
        <v>129.5</v>
      </c>
      <c r="J22" s="18"/>
      <c r="K22" s="18"/>
      <c r="L22" s="18"/>
      <c r="M22" s="18" t="str">
        <f t="shared" si="2"/>
        <v/>
      </c>
      <c r="N22" s="18"/>
      <c r="O22" s="18"/>
      <c r="P22" s="18"/>
      <c r="Q22" s="18"/>
      <c r="R22" s="18"/>
      <c r="S22" s="22" t="str">
        <f>IF($U22="Svátek",IFERROR(INDEX(SVATKY_2027!$C$5:$C$22,MATCH($A22,SVATKY_2027!$B$5:$B$22,0)),""),"")</f>
        <v/>
      </c>
      <c r="U22" t="str">
        <f>IF($A22="","",IF(WEEKDAY($A22,2)&gt;5,"Víkend",IF(COUNTIF(SVATKY_2027!$B$5:$B$22,$A22)&gt;0,"Svátek","")))</f>
        <v/>
      </c>
      <c r="V22">
        <f t="shared" si="3"/>
        <v>0</v>
      </c>
    </row>
    <row r="23" spans="1:22" ht="15.6" customHeight="1" x14ac:dyDescent="0.25">
      <c r="A23" s="17">
        <f>IF(MONTH(DATE(PREDVOLBY!$C$8,12,18))=12,DATE(PREDVOLBY!$C$8,12,18),"")</f>
        <v>46739</v>
      </c>
      <c r="B23" s="18" t="str">
        <f t="shared" si="0"/>
        <v>so</v>
      </c>
      <c r="C23" s="19" t="str">
        <f>IF(OR($A23="",$U23="Víkend"),"",IF($V23&gt;=1,"-",PREDVOLBY!$C$18))</f>
        <v/>
      </c>
      <c r="D23" s="19" t="str">
        <f>IF(OR($A23="",$U23="Víkend"),"",IF($V23&gt;=1,"-",PREDVOLBY!$C$19))</f>
        <v/>
      </c>
      <c r="E23" s="19" t="str">
        <f>IF(OR($A23="",$U23="Víkend"),"",IF($V23&gt;=0.5,"-",PREDVOLBY!$C$20))</f>
        <v/>
      </c>
      <c r="F23" s="19" t="str">
        <f>IF(OR($A23="",$U23="Víkend"),"",IF($V23&gt;=0.5,"-",PREDVOLBY!$C$21))</f>
        <v/>
      </c>
      <c r="G23" s="20" t="str">
        <f t="shared" si="1"/>
        <v/>
      </c>
      <c r="H23" s="20" t="str">
        <f>IF($G23="","",IF(ISNUMBER($G23),MAX(0,ROUND($G23-PREDVOLBY!$C$22*(1-$V23),2)),"-"))</f>
        <v/>
      </c>
      <c r="I23" s="21" t="str">
        <f>IF($G23="","",IF(AND(ISNUMBER($G23),$J23=""),IF($G23&gt;=PREDVOLBY!$C$26,PREDVOLBY!$C$25,"-"),"-"))</f>
        <v/>
      </c>
      <c r="J23" s="18"/>
      <c r="K23" s="18"/>
      <c r="L23" s="18"/>
      <c r="M23" s="18" t="str">
        <f t="shared" si="2"/>
        <v/>
      </c>
      <c r="N23" s="18"/>
      <c r="O23" s="18"/>
      <c r="P23" s="18"/>
      <c r="Q23" s="18"/>
      <c r="R23" s="18"/>
      <c r="S23" s="22" t="str">
        <f>IF($U23="Svátek",IFERROR(INDEX(SVATKY_2027!$C$5:$C$22,MATCH($A23,SVATKY_2027!$B$5:$B$22,0)),""),"")</f>
        <v/>
      </c>
      <c r="U23" t="str">
        <f>IF($A23="","",IF(WEEKDAY($A23,2)&gt;5,"Víkend",IF(COUNTIF(SVATKY_2027!$B$5:$B$22,$A23)&gt;0,"Svátek","")))</f>
        <v>Víkend</v>
      </c>
      <c r="V23">
        <f t="shared" si="3"/>
        <v>0</v>
      </c>
    </row>
    <row r="24" spans="1:22" ht="15.6" customHeight="1" x14ac:dyDescent="0.25">
      <c r="A24" s="17">
        <f>IF(MONTH(DATE(PREDVOLBY!$C$8,12,19))=12,DATE(PREDVOLBY!$C$8,12,19),"")</f>
        <v>46740</v>
      </c>
      <c r="B24" s="18" t="str">
        <f t="shared" si="0"/>
        <v>ne</v>
      </c>
      <c r="C24" s="19" t="str">
        <f>IF(OR($A24="",$U24="Víkend"),"",IF($V24&gt;=1,"-",PREDVOLBY!$C$18))</f>
        <v/>
      </c>
      <c r="D24" s="19" t="str">
        <f>IF(OR($A24="",$U24="Víkend"),"",IF($V24&gt;=1,"-",PREDVOLBY!$C$19))</f>
        <v/>
      </c>
      <c r="E24" s="19" t="str">
        <f>IF(OR($A24="",$U24="Víkend"),"",IF($V24&gt;=0.5,"-",PREDVOLBY!$C$20))</f>
        <v/>
      </c>
      <c r="F24" s="19" t="str">
        <f>IF(OR($A24="",$U24="Víkend"),"",IF($V24&gt;=0.5,"-",PREDVOLBY!$C$21))</f>
        <v/>
      </c>
      <c r="G24" s="20" t="str">
        <f t="shared" si="1"/>
        <v/>
      </c>
      <c r="H24" s="20" t="str">
        <f>IF($G24="","",IF(ISNUMBER($G24),MAX(0,ROUND($G24-PREDVOLBY!$C$22*(1-$V24),2)),"-"))</f>
        <v/>
      </c>
      <c r="I24" s="21" t="str">
        <f>IF($G24="","",IF(AND(ISNUMBER($G24),$J24=""),IF($G24&gt;=PREDVOLBY!$C$26,PREDVOLBY!$C$25,"-"),"-"))</f>
        <v/>
      </c>
      <c r="J24" s="18"/>
      <c r="K24" s="18"/>
      <c r="L24" s="18"/>
      <c r="M24" s="18" t="str">
        <f t="shared" si="2"/>
        <v/>
      </c>
      <c r="N24" s="18"/>
      <c r="O24" s="18"/>
      <c r="P24" s="18"/>
      <c r="Q24" s="18"/>
      <c r="R24" s="18"/>
      <c r="S24" s="22" t="str">
        <f>IF($U24="Svátek",IFERROR(INDEX(SVATKY_2027!$C$5:$C$22,MATCH($A24,SVATKY_2027!$B$5:$B$22,0)),""),"")</f>
        <v/>
      </c>
      <c r="U24" t="str">
        <f>IF($A24="","",IF(WEEKDAY($A24,2)&gt;5,"Víkend",IF(COUNTIF(SVATKY_2027!$B$5:$B$22,$A24)&gt;0,"Svátek","")))</f>
        <v>Víkend</v>
      </c>
      <c r="V24">
        <f t="shared" si="3"/>
        <v>0</v>
      </c>
    </row>
    <row r="25" spans="1:22" ht="15.6" customHeight="1" x14ac:dyDescent="0.25">
      <c r="A25" s="17">
        <f>IF(MONTH(DATE(PREDVOLBY!$C$8,12,20))=12,DATE(PREDVOLBY!$C$8,12,20),"")</f>
        <v>46741</v>
      </c>
      <c r="B25" s="18" t="str">
        <f t="shared" si="0"/>
        <v>po</v>
      </c>
      <c r="C25" s="19">
        <f>IF(OR($A25="",$U25="Víkend"),"",IF($V25&gt;=1,"-",PREDVOLBY!$C$18))</f>
        <v>0.3125</v>
      </c>
      <c r="D25" s="19">
        <f>IF(OR($A25="",$U25="Víkend"),"",IF($V25&gt;=1,"-",PREDVOLBY!$C$19))</f>
        <v>0.47916666666666669</v>
      </c>
      <c r="E25" s="19">
        <f>IF(OR($A25="",$U25="Víkend"),"",IF($V25&gt;=0.5,"-",PREDVOLBY!$C$20))</f>
        <v>0.5</v>
      </c>
      <c r="F25" s="19">
        <f>IF(OR($A25="",$U25="Víkend"),"",IF($V25&gt;=0.5,"-",PREDVOLBY!$C$21))</f>
        <v>0.66666666666666663</v>
      </c>
      <c r="G25" s="20">
        <f t="shared" si="1"/>
        <v>8</v>
      </c>
      <c r="H25" s="20">
        <f>IF($G25="","",IF(ISNUMBER($G25),MAX(0,ROUND($G25-PREDVOLBY!$C$22*(1-$V25),2)),"-"))</f>
        <v>0</v>
      </c>
      <c r="I25" s="21">
        <f>IF($G25="","",IF(AND(ISNUMBER($G25),$J25=""),IF($G25&gt;=PREDVOLBY!$C$26,PREDVOLBY!$C$25,"-"),"-"))</f>
        <v>129.5</v>
      </c>
      <c r="J25" s="18"/>
      <c r="K25" s="18"/>
      <c r="L25" s="18"/>
      <c r="M25" s="18" t="str">
        <f t="shared" si="2"/>
        <v/>
      </c>
      <c r="N25" s="18"/>
      <c r="O25" s="18"/>
      <c r="P25" s="18"/>
      <c r="Q25" s="18"/>
      <c r="R25" s="18"/>
      <c r="S25" s="22" t="str">
        <f>IF($U25="Svátek",IFERROR(INDEX(SVATKY_2027!$C$5:$C$22,MATCH($A25,SVATKY_2027!$B$5:$B$22,0)),""),"")</f>
        <v/>
      </c>
      <c r="U25" t="str">
        <f>IF($A25="","",IF(WEEKDAY($A25,2)&gt;5,"Víkend",IF(COUNTIF(SVATKY_2027!$B$5:$B$22,$A25)&gt;0,"Svátek","")))</f>
        <v/>
      </c>
      <c r="V25">
        <f t="shared" si="3"/>
        <v>0</v>
      </c>
    </row>
    <row r="26" spans="1:22" ht="15.6" customHeight="1" x14ac:dyDescent="0.25">
      <c r="A26" s="17">
        <f>IF(MONTH(DATE(PREDVOLBY!$C$8,12,21))=12,DATE(PREDVOLBY!$C$8,12,21),"")</f>
        <v>46742</v>
      </c>
      <c r="B26" s="18" t="str">
        <f t="shared" si="0"/>
        <v>út</v>
      </c>
      <c r="C26" s="19">
        <f>IF(OR($A26="",$U26="Víkend"),"",IF($V26&gt;=1,"-",PREDVOLBY!$C$18))</f>
        <v>0.3125</v>
      </c>
      <c r="D26" s="19">
        <f>IF(OR($A26="",$U26="Víkend"),"",IF($V26&gt;=1,"-",PREDVOLBY!$C$19))</f>
        <v>0.47916666666666669</v>
      </c>
      <c r="E26" s="19">
        <f>IF(OR($A26="",$U26="Víkend"),"",IF($V26&gt;=0.5,"-",PREDVOLBY!$C$20))</f>
        <v>0.5</v>
      </c>
      <c r="F26" s="19">
        <f>IF(OR($A26="",$U26="Víkend"),"",IF($V26&gt;=0.5,"-",PREDVOLBY!$C$21))</f>
        <v>0.66666666666666663</v>
      </c>
      <c r="G26" s="20">
        <f t="shared" si="1"/>
        <v>8</v>
      </c>
      <c r="H26" s="20">
        <f>IF($G26="","",IF(ISNUMBER($G26),MAX(0,ROUND($G26-PREDVOLBY!$C$22*(1-$V26),2)),"-"))</f>
        <v>0</v>
      </c>
      <c r="I26" s="21">
        <f>IF($G26="","",IF(AND(ISNUMBER($G26),$J26=""),IF($G26&gt;=PREDVOLBY!$C$26,PREDVOLBY!$C$25,"-"),"-"))</f>
        <v>129.5</v>
      </c>
      <c r="J26" s="18"/>
      <c r="K26" s="18"/>
      <c r="L26" s="18"/>
      <c r="M26" s="18" t="str">
        <f t="shared" si="2"/>
        <v/>
      </c>
      <c r="N26" s="18"/>
      <c r="O26" s="18"/>
      <c r="P26" s="18"/>
      <c r="Q26" s="18"/>
      <c r="R26" s="18"/>
      <c r="S26" s="22" t="str">
        <f>IF($U26="Svátek",IFERROR(INDEX(SVATKY_2027!$C$5:$C$22,MATCH($A26,SVATKY_2027!$B$5:$B$22,0)),""),"")</f>
        <v/>
      </c>
      <c r="U26" t="str">
        <f>IF($A26="","",IF(WEEKDAY($A26,2)&gt;5,"Víkend",IF(COUNTIF(SVATKY_2027!$B$5:$B$22,$A26)&gt;0,"Svátek","")))</f>
        <v/>
      </c>
      <c r="V26">
        <f t="shared" si="3"/>
        <v>0</v>
      </c>
    </row>
    <row r="27" spans="1:22" ht="15.6" customHeight="1" x14ac:dyDescent="0.25">
      <c r="A27" s="17">
        <f>IF(MONTH(DATE(PREDVOLBY!$C$8,12,22))=12,DATE(PREDVOLBY!$C$8,12,22),"")</f>
        <v>46743</v>
      </c>
      <c r="B27" s="18" t="str">
        <f t="shared" si="0"/>
        <v>st</v>
      </c>
      <c r="C27" s="19">
        <f>IF(OR($A27="",$U27="Víkend"),"",IF($V27&gt;=1,"-",PREDVOLBY!$C$18))</f>
        <v>0.3125</v>
      </c>
      <c r="D27" s="19">
        <f>IF(OR($A27="",$U27="Víkend"),"",IF($V27&gt;=1,"-",PREDVOLBY!$C$19))</f>
        <v>0.47916666666666669</v>
      </c>
      <c r="E27" s="19">
        <f>IF(OR($A27="",$U27="Víkend"),"",IF($V27&gt;=0.5,"-",PREDVOLBY!$C$20))</f>
        <v>0.5</v>
      </c>
      <c r="F27" s="19">
        <f>IF(OR($A27="",$U27="Víkend"),"",IF($V27&gt;=0.5,"-",PREDVOLBY!$C$21))</f>
        <v>0.66666666666666663</v>
      </c>
      <c r="G27" s="20">
        <f t="shared" si="1"/>
        <v>8</v>
      </c>
      <c r="H27" s="20">
        <f>IF($G27="","",IF(ISNUMBER($G27),MAX(0,ROUND($G27-PREDVOLBY!$C$22*(1-$V27),2)),"-"))</f>
        <v>0</v>
      </c>
      <c r="I27" s="21">
        <f>IF($G27="","",IF(AND(ISNUMBER($G27),$J27=""),IF($G27&gt;=PREDVOLBY!$C$26,PREDVOLBY!$C$25,"-"),"-"))</f>
        <v>129.5</v>
      </c>
      <c r="J27" s="18"/>
      <c r="K27" s="18"/>
      <c r="L27" s="18"/>
      <c r="M27" s="18" t="str">
        <f t="shared" si="2"/>
        <v/>
      </c>
      <c r="N27" s="18"/>
      <c r="O27" s="18"/>
      <c r="P27" s="18"/>
      <c r="Q27" s="18"/>
      <c r="R27" s="18"/>
      <c r="S27" s="22" t="str">
        <f>IF($U27="Svátek",IFERROR(INDEX(SVATKY_2027!$C$5:$C$22,MATCH($A27,SVATKY_2027!$B$5:$B$22,0)),""),"")</f>
        <v/>
      </c>
      <c r="U27" t="str">
        <f>IF($A27="","",IF(WEEKDAY($A27,2)&gt;5,"Víkend",IF(COUNTIF(SVATKY_2027!$B$5:$B$22,$A27)&gt;0,"Svátek","")))</f>
        <v/>
      </c>
      <c r="V27">
        <f t="shared" si="3"/>
        <v>0</v>
      </c>
    </row>
    <row r="28" spans="1:22" ht="15.6" customHeight="1" x14ac:dyDescent="0.25">
      <c r="A28" s="17">
        <f>IF(MONTH(DATE(PREDVOLBY!$C$8,12,23))=12,DATE(PREDVOLBY!$C$8,12,23),"")</f>
        <v>46744</v>
      </c>
      <c r="B28" s="18" t="str">
        <f t="shared" si="0"/>
        <v>čt</v>
      </c>
      <c r="C28" s="19">
        <f>IF(OR($A28="",$U28="Víkend"),"",IF($V28&gt;=1,"-",PREDVOLBY!$C$18))</f>
        <v>0.3125</v>
      </c>
      <c r="D28" s="19">
        <f>IF(OR($A28="",$U28="Víkend"),"",IF($V28&gt;=1,"-",PREDVOLBY!$C$19))</f>
        <v>0.47916666666666669</v>
      </c>
      <c r="E28" s="19">
        <f>IF(OR($A28="",$U28="Víkend"),"",IF($V28&gt;=0.5,"-",PREDVOLBY!$C$20))</f>
        <v>0.5</v>
      </c>
      <c r="F28" s="19">
        <f>IF(OR($A28="",$U28="Víkend"),"",IF($V28&gt;=0.5,"-",PREDVOLBY!$C$21))</f>
        <v>0.66666666666666663</v>
      </c>
      <c r="G28" s="20">
        <f t="shared" si="1"/>
        <v>8</v>
      </c>
      <c r="H28" s="20">
        <f>IF($G28="","",IF(ISNUMBER($G28),MAX(0,ROUND($G28-PREDVOLBY!$C$22*(1-$V28),2)),"-"))</f>
        <v>0</v>
      </c>
      <c r="I28" s="21">
        <f>IF($G28="","",IF(AND(ISNUMBER($G28),$J28=""),IF($G28&gt;=PREDVOLBY!$C$26,PREDVOLBY!$C$25,"-"),"-"))</f>
        <v>129.5</v>
      </c>
      <c r="J28" s="18"/>
      <c r="K28" s="18"/>
      <c r="L28" s="18"/>
      <c r="M28" s="18" t="str">
        <f t="shared" si="2"/>
        <v/>
      </c>
      <c r="N28" s="18"/>
      <c r="O28" s="18"/>
      <c r="P28" s="18"/>
      <c r="Q28" s="18"/>
      <c r="R28" s="18"/>
      <c r="S28" s="22" t="str">
        <f>IF($U28="Svátek",IFERROR(INDEX(SVATKY_2027!$C$5:$C$22,MATCH($A28,SVATKY_2027!$B$5:$B$22,0)),""),"")</f>
        <v/>
      </c>
      <c r="U28" t="str">
        <f>IF($A28="","",IF(WEEKDAY($A28,2)&gt;5,"Víkend",IF(COUNTIF(SVATKY_2027!$B$5:$B$22,$A28)&gt;0,"Svátek","")))</f>
        <v/>
      </c>
      <c r="V28">
        <f t="shared" si="3"/>
        <v>0</v>
      </c>
    </row>
    <row r="29" spans="1:22" ht="15.6" customHeight="1" x14ac:dyDescent="0.25">
      <c r="A29" s="17">
        <f>IF(MONTH(DATE(PREDVOLBY!$C$8,12,24))=12,DATE(PREDVOLBY!$C$8,12,24),"")</f>
        <v>46745</v>
      </c>
      <c r="B29" s="18" t="str">
        <f t="shared" si="0"/>
        <v>pá</v>
      </c>
      <c r="C29" s="19" t="str">
        <f>IF(OR($A29="",$U29="Víkend"),"",IF($V29&gt;=1,"-",PREDVOLBY!$C$18))</f>
        <v>-</v>
      </c>
      <c r="D29" s="19" t="str">
        <f>IF(OR($A29="",$U29="Víkend"),"",IF($V29&gt;=1,"-",PREDVOLBY!$C$19))</f>
        <v>-</v>
      </c>
      <c r="E29" s="19" t="str">
        <f>IF(OR($A29="",$U29="Víkend"),"",IF($V29&gt;=0.5,"-",PREDVOLBY!$C$20))</f>
        <v>-</v>
      </c>
      <c r="F29" s="19" t="str">
        <f>IF(OR($A29="",$U29="Víkend"),"",IF($V29&gt;=0.5,"-",PREDVOLBY!$C$21))</f>
        <v>-</v>
      </c>
      <c r="G29" s="20" t="str">
        <f t="shared" si="1"/>
        <v>-</v>
      </c>
      <c r="H29" s="20" t="str">
        <f>IF($G29="","",IF(ISNUMBER($G29),MAX(0,ROUND($G29-PREDVOLBY!$C$22*(1-$V29),2)),"-"))</f>
        <v>-</v>
      </c>
      <c r="I29" s="21" t="str">
        <f>IF($G29="","",IF(AND(ISNUMBER($G29),$J29=""),IF($G29&gt;=PREDVOLBY!$C$26,PREDVOLBY!$C$25,"-"),"-"))</f>
        <v>-</v>
      </c>
      <c r="J29" s="18"/>
      <c r="K29" s="18"/>
      <c r="L29" s="18"/>
      <c r="M29" s="18">
        <f t="shared" si="2"/>
        <v>1</v>
      </c>
      <c r="N29" s="18"/>
      <c r="O29" s="18"/>
      <c r="P29" s="18"/>
      <c r="Q29" s="18"/>
      <c r="R29" s="18"/>
      <c r="S29" s="22" t="str">
        <f>IF($U29="Svátek",IFERROR(INDEX(SVATKY_2027!$C$5:$C$22,MATCH($A29,SVATKY_2027!$B$5:$B$22,0)),""),"")</f>
        <v>Štědrý den</v>
      </c>
      <c r="U29" t="str">
        <f>IF($A29="","",IF(WEEKDAY($A29,2)&gt;5,"Víkend",IF(COUNTIF(SVATKY_2027!$B$5:$B$22,$A29)&gt;0,"Svátek","")))</f>
        <v>Svátek</v>
      </c>
      <c r="V29">
        <f t="shared" si="3"/>
        <v>1</v>
      </c>
    </row>
    <row r="30" spans="1:22" ht="15.6" customHeight="1" x14ac:dyDescent="0.25">
      <c r="A30" s="17">
        <f>IF(MONTH(DATE(PREDVOLBY!$C$8,12,25))=12,DATE(PREDVOLBY!$C$8,12,25),"")</f>
        <v>46746</v>
      </c>
      <c r="B30" s="18" t="str">
        <f t="shared" si="0"/>
        <v>so</v>
      </c>
      <c r="C30" s="19" t="str">
        <f>IF(OR($A30="",$U30="Víkend"),"",IF($V30&gt;=1,"-",PREDVOLBY!$C$18))</f>
        <v/>
      </c>
      <c r="D30" s="19" t="str">
        <f>IF(OR($A30="",$U30="Víkend"),"",IF($V30&gt;=1,"-",PREDVOLBY!$C$19))</f>
        <v/>
      </c>
      <c r="E30" s="19" t="str">
        <f>IF(OR($A30="",$U30="Víkend"),"",IF($V30&gt;=0.5,"-",PREDVOLBY!$C$20))</f>
        <v/>
      </c>
      <c r="F30" s="19" t="str">
        <f>IF(OR($A30="",$U30="Víkend"),"",IF($V30&gt;=0.5,"-",PREDVOLBY!$C$21))</f>
        <v/>
      </c>
      <c r="G30" s="20" t="str">
        <f t="shared" si="1"/>
        <v/>
      </c>
      <c r="H30" s="20" t="str">
        <f>IF($G30="","",IF(ISNUMBER($G30),MAX(0,ROUND($G30-PREDVOLBY!$C$22*(1-$V30),2)),"-"))</f>
        <v/>
      </c>
      <c r="I30" s="21" t="str">
        <f>IF($G30="","",IF(AND(ISNUMBER($G30),$J30=""),IF($G30&gt;=PREDVOLBY!$C$26,PREDVOLBY!$C$25,"-"),"-"))</f>
        <v/>
      </c>
      <c r="J30" s="18"/>
      <c r="K30" s="18"/>
      <c r="L30" s="18"/>
      <c r="M30" s="18" t="str">
        <f t="shared" si="2"/>
        <v/>
      </c>
      <c r="N30" s="18"/>
      <c r="O30" s="18"/>
      <c r="P30" s="18"/>
      <c r="Q30" s="18"/>
      <c r="R30" s="18"/>
      <c r="S30" s="22" t="str">
        <f>IF($U30="Svátek",IFERROR(INDEX(SVATKY_2027!$C$5:$C$22,MATCH($A30,SVATKY_2027!$B$5:$B$22,0)),""),"")</f>
        <v/>
      </c>
      <c r="U30" t="str">
        <f>IF($A30="","",IF(WEEKDAY($A30,2)&gt;5,"Víkend",IF(COUNTIF(SVATKY_2027!$B$5:$B$22,$A30)&gt;0,"Svátek","")))</f>
        <v>Víkend</v>
      </c>
      <c r="V30">
        <f t="shared" si="3"/>
        <v>0</v>
      </c>
    </row>
    <row r="31" spans="1:22" ht="15.6" customHeight="1" x14ac:dyDescent="0.25">
      <c r="A31" s="17">
        <f>IF(MONTH(DATE(PREDVOLBY!$C$8,12,26))=12,DATE(PREDVOLBY!$C$8,12,26),"")</f>
        <v>46747</v>
      </c>
      <c r="B31" s="18" t="str">
        <f t="shared" si="0"/>
        <v>ne</v>
      </c>
      <c r="C31" s="19" t="str">
        <f>IF(OR($A31="",$U31="Víkend"),"",IF($V31&gt;=1,"-",PREDVOLBY!$C$18))</f>
        <v/>
      </c>
      <c r="D31" s="19" t="str">
        <f>IF(OR($A31="",$U31="Víkend"),"",IF($V31&gt;=1,"-",PREDVOLBY!$C$19))</f>
        <v/>
      </c>
      <c r="E31" s="19" t="str">
        <f>IF(OR($A31="",$U31="Víkend"),"",IF($V31&gt;=0.5,"-",PREDVOLBY!$C$20))</f>
        <v/>
      </c>
      <c r="F31" s="19" t="str">
        <f>IF(OR($A31="",$U31="Víkend"),"",IF($V31&gt;=0.5,"-",PREDVOLBY!$C$21))</f>
        <v/>
      </c>
      <c r="G31" s="20" t="str">
        <f t="shared" si="1"/>
        <v/>
      </c>
      <c r="H31" s="20" t="str">
        <f>IF($G31="","",IF(ISNUMBER($G31),MAX(0,ROUND($G31-PREDVOLBY!$C$22*(1-$V31),2)),"-"))</f>
        <v/>
      </c>
      <c r="I31" s="21" t="str">
        <f>IF($G31="","",IF(AND(ISNUMBER($G31),$J31=""),IF($G31&gt;=PREDVOLBY!$C$26,PREDVOLBY!$C$25,"-"),"-"))</f>
        <v/>
      </c>
      <c r="J31" s="18"/>
      <c r="K31" s="18"/>
      <c r="L31" s="18"/>
      <c r="M31" s="18" t="str">
        <f t="shared" si="2"/>
        <v/>
      </c>
      <c r="N31" s="18"/>
      <c r="O31" s="18"/>
      <c r="P31" s="18"/>
      <c r="Q31" s="18"/>
      <c r="R31" s="18"/>
      <c r="S31" s="22" t="str">
        <f>IF($U31="Svátek",IFERROR(INDEX(SVATKY_2027!$C$5:$C$22,MATCH($A31,SVATKY_2027!$B$5:$B$22,0)),""),"")</f>
        <v/>
      </c>
      <c r="U31" t="str">
        <f>IF($A31="","",IF(WEEKDAY($A31,2)&gt;5,"Víkend",IF(COUNTIF(SVATKY_2027!$B$5:$B$22,$A31)&gt;0,"Svátek","")))</f>
        <v>Víkend</v>
      </c>
      <c r="V31">
        <f t="shared" si="3"/>
        <v>0</v>
      </c>
    </row>
    <row r="32" spans="1:22" ht="15.6" customHeight="1" x14ac:dyDescent="0.25">
      <c r="A32" s="17">
        <f>IF(MONTH(DATE(PREDVOLBY!$C$8,12,27))=12,DATE(PREDVOLBY!$C$8,12,27),"")</f>
        <v>46748</v>
      </c>
      <c r="B32" s="18" t="str">
        <f t="shared" si="0"/>
        <v>po</v>
      </c>
      <c r="C32" s="19">
        <f>IF(OR($A32="",$U32="Víkend"),"",IF($V32&gt;=1,"-",PREDVOLBY!$C$18))</f>
        <v>0.3125</v>
      </c>
      <c r="D32" s="19">
        <f>IF(OR($A32="",$U32="Víkend"),"",IF($V32&gt;=1,"-",PREDVOLBY!$C$19))</f>
        <v>0.47916666666666669</v>
      </c>
      <c r="E32" s="19">
        <f>IF(OR($A32="",$U32="Víkend"),"",IF($V32&gt;=0.5,"-",PREDVOLBY!$C$20))</f>
        <v>0.5</v>
      </c>
      <c r="F32" s="19">
        <f>IF(OR($A32="",$U32="Víkend"),"",IF($V32&gt;=0.5,"-",PREDVOLBY!$C$21))</f>
        <v>0.66666666666666663</v>
      </c>
      <c r="G32" s="20">
        <f t="shared" si="1"/>
        <v>8</v>
      </c>
      <c r="H32" s="20">
        <f>IF($G32="","",IF(ISNUMBER($G32),MAX(0,ROUND($G32-PREDVOLBY!$C$22*(1-$V32),2)),"-"))</f>
        <v>0</v>
      </c>
      <c r="I32" s="21">
        <f>IF($G32="","",IF(AND(ISNUMBER($G32),$J32=""),IF($G32&gt;=PREDVOLBY!$C$26,PREDVOLBY!$C$25,"-"),"-"))</f>
        <v>129.5</v>
      </c>
      <c r="J32" s="18"/>
      <c r="K32" s="18"/>
      <c r="L32" s="18"/>
      <c r="M32" s="18" t="str">
        <f t="shared" si="2"/>
        <v/>
      </c>
      <c r="N32" s="18"/>
      <c r="O32" s="18"/>
      <c r="P32" s="18"/>
      <c r="Q32" s="18"/>
      <c r="R32" s="18"/>
      <c r="S32" s="22" t="str">
        <f>IF($U32="Svátek",IFERROR(INDEX(SVATKY_2027!$C$5:$C$22,MATCH($A32,SVATKY_2027!$B$5:$B$22,0)),""),"")</f>
        <v/>
      </c>
      <c r="U32" t="str">
        <f>IF($A32="","",IF(WEEKDAY($A32,2)&gt;5,"Víkend",IF(COUNTIF(SVATKY_2027!$B$5:$B$22,$A32)&gt;0,"Svátek","")))</f>
        <v/>
      </c>
      <c r="V32">
        <f t="shared" si="3"/>
        <v>0</v>
      </c>
    </row>
    <row r="33" spans="1:22" ht="15.6" customHeight="1" x14ac:dyDescent="0.25">
      <c r="A33" s="17">
        <f>IF(MONTH(DATE(PREDVOLBY!$C$8,12,28))=12,DATE(PREDVOLBY!$C$8,12,28),"")</f>
        <v>46749</v>
      </c>
      <c r="B33" s="18" t="str">
        <f t="shared" si="0"/>
        <v>út</v>
      </c>
      <c r="C33" s="19">
        <f>IF(OR($A33="",$U33="Víkend"),"",IF($V33&gt;=1,"-",PREDVOLBY!$C$18))</f>
        <v>0.3125</v>
      </c>
      <c r="D33" s="19">
        <f>IF(OR($A33="",$U33="Víkend"),"",IF($V33&gt;=1,"-",PREDVOLBY!$C$19))</f>
        <v>0.47916666666666669</v>
      </c>
      <c r="E33" s="19">
        <f>IF(OR($A33="",$U33="Víkend"),"",IF($V33&gt;=0.5,"-",PREDVOLBY!$C$20))</f>
        <v>0.5</v>
      </c>
      <c r="F33" s="19">
        <f>IF(OR($A33="",$U33="Víkend"),"",IF($V33&gt;=0.5,"-",PREDVOLBY!$C$21))</f>
        <v>0.66666666666666663</v>
      </c>
      <c r="G33" s="20">
        <f t="shared" si="1"/>
        <v>8</v>
      </c>
      <c r="H33" s="20">
        <f>IF($G33="","",IF(ISNUMBER($G33),MAX(0,ROUND($G33-PREDVOLBY!$C$22*(1-$V33),2)),"-"))</f>
        <v>0</v>
      </c>
      <c r="I33" s="21">
        <f>IF($G33="","",IF(AND(ISNUMBER($G33),$J33=""),IF($G33&gt;=PREDVOLBY!$C$26,PREDVOLBY!$C$25,"-"),"-"))</f>
        <v>129.5</v>
      </c>
      <c r="J33" s="18"/>
      <c r="K33" s="18"/>
      <c r="L33" s="18"/>
      <c r="M33" s="18" t="str">
        <f t="shared" si="2"/>
        <v/>
      </c>
      <c r="N33" s="18"/>
      <c r="O33" s="18"/>
      <c r="P33" s="18"/>
      <c r="Q33" s="18"/>
      <c r="R33" s="18"/>
      <c r="S33" s="22" t="str">
        <f>IF($U33="Svátek",IFERROR(INDEX(SVATKY_2027!$C$5:$C$22,MATCH($A33,SVATKY_2027!$B$5:$B$22,0)),""),"")</f>
        <v/>
      </c>
      <c r="U33" t="str">
        <f>IF($A33="","",IF(WEEKDAY($A33,2)&gt;5,"Víkend",IF(COUNTIF(SVATKY_2027!$B$5:$B$22,$A33)&gt;0,"Svátek","")))</f>
        <v/>
      </c>
      <c r="V33">
        <f t="shared" si="3"/>
        <v>0</v>
      </c>
    </row>
    <row r="34" spans="1:22" ht="15.6" customHeight="1" x14ac:dyDescent="0.25">
      <c r="A34" s="17">
        <f>IF(MONTH(DATE(PREDVOLBY!$C$8,12,29))=12,DATE(PREDVOLBY!$C$8,12,29),"")</f>
        <v>46750</v>
      </c>
      <c r="B34" s="18" t="str">
        <f t="shared" si="0"/>
        <v>st</v>
      </c>
      <c r="C34" s="19">
        <f>IF(OR($A34="",$U34="Víkend"),"",IF($V34&gt;=1,"-",PREDVOLBY!$C$18))</f>
        <v>0.3125</v>
      </c>
      <c r="D34" s="19">
        <f>IF(OR($A34="",$U34="Víkend"),"",IF($V34&gt;=1,"-",PREDVOLBY!$C$19))</f>
        <v>0.47916666666666669</v>
      </c>
      <c r="E34" s="19">
        <f>IF(OR($A34="",$U34="Víkend"),"",IF($V34&gt;=0.5,"-",PREDVOLBY!$C$20))</f>
        <v>0.5</v>
      </c>
      <c r="F34" s="19">
        <f>IF(OR($A34="",$U34="Víkend"),"",IF($V34&gt;=0.5,"-",PREDVOLBY!$C$21))</f>
        <v>0.66666666666666663</v>
      </c>
      <c r="G34" s="20">
        <f t="shared" si="1"/>
        <v>8</v>
      </c>
      <c r="H34" s="20">
        <f>IF($G34="","",IF(ISNUMBER($G34),MAX(0,ROUND($G34-PREDVOLBY!$C$22*(1-$V34),2)),"-"))</f>
        <v>0</v>
      </c>
      <c r="I34" s="21">
        <f>IF($G34="","",IF(AND(ISNUMBER($G34),$J34=""),IF($G34&gt;=PREDVOLBY!$C$26,PREDVOLBY!$C$25,"-"),"-"))</f>
        <v>129.5</v>
      </c>
      <c r="J34" s="18"/>
      <c r="K34" s="18"/>
      <c r="L34" s="18"/>
      <c r="M34" s="18" t="str">
        <f t="shared" si="2"/>
        <v/>
      </c>
      <c r="N34" s="18"/>
      <c r="O34" s="18"/>
      <c r="P34" s="18"/>
      <c r="Q34" s="18"/>
      <c r="R34" s="18"/>
      <c r="S34" s="22" t="str">
        <f>IF($U34="Svátek",IFERROR(INDEX(SVATKY_2027!$C$5:$C$22,MATCH($A34,SVATKY_2027!$B$5:$B$22,0)),""),"")</f>
        <v/>
      </c>
      <c r="U34" t="str">
        <f>IF($A34="","",IF(WEEKDAY($A34,2)&gt;5,"Víkend",IF(COUNTIF(SVATKY_2027!$B$5:$B$22,$A34)&gt;0,"Svátek","")))</f>
        <v/>
      </c>
      <c r="V34">
        <f t="shared" si="3"/>
        <v>0</v>
      </c>
    </row>
    <row r="35" spans="1:22" ht="15.6" customHeight="1" x14ac:dyDescent="0.25">
      <c r="A35" s="17">
        <f>IF(MONTH(DATE(PREDVOLBY!$C$8,12,30))=12,DATE(PREDVOLBY!$C$8,12,30),"")</f>
        <v>46751</v>
      </c>
      <c r="B35" s="18" t="str">
        <f t="shared" si="0"/>
        <v>čt</v>
      </c>
      <c r="C35" s="19">
        <f>IF(OR($A35="",$U35="Víkend"),"",IF($V35&gt;=1,"-",PREDVOLBY!$C$18))</f>
        <v>0.3125</v>
      </c>
      <c r="D35" s="19">
        <f>IF(OR($A35="",$U35="Víkend"),"",IF($V35&gt;=1,"-",PREDVOLBY!$C$19))</f>
        <v>0.47916666666666669</v>
      </c>
      <c r="E35" s="19">
        <f>IF(OR($A35="",$U35="Víkend"),"",IF($V35&gt;=0.5,"-",PREDVOLBY!$C$20))</f>
        <v>0.5</v>
      </c>
      <c r="F35" s="19">
        <f>IF(OR($A35="",$U35="Víkend"),"",IF($V35&gt;=0.5,"-",PREDVOLBY!$C$21))</f>
        <v>0.66666666666666663</v>
      </c>
      <c r="G35" s="20">
        <f t="shared" si="1"/>
        <v>8</v>
      </c>
      <c r="H35" s="20">
        <f>IF($G35="","",IF(ISNUMBER($G35),MAX(0,ROUND($G35-PREDVOLBY!$C$22*(1-$V35),2)),"-"))</f>
        <v>0</v>
      </c>
      <c r="I35" s="21">
        <f>IF($G35="","",IF(AND(ISNUMBER($G35),$J35=""),IF($G35&gt;=PREDVOLBY!$C$26,PREDVOLBY!$C$25,"-"),"-"))</f>
        <v>129.5</v>
      </c>
      <c r="J35" s="18"/>
      <c r="K35" s="18"/>
      <c r="L35" s="18"/>
      <c r="M35" s="18" t="str">
        <f t="shared" si="2"/>
        <v/>
      </c>
      <c r="N35" s="18"/>
      <c r="O35" s="18"/>
      <c r="P35" s="18"/>
      <c r="Q35" s="18"/>
      <c r="R35" s="18"/>
      <c r="S35" s="22" t="str">
        <f>IF($U35="Svátek",IFERROR(INDEX(SVATKY_2027!$C$5:$C$22,MATCH($A35,SVATKY_2027!$B$5:$B$22,0)),""),"")</f>
        <v/>
      </c>
      <c r="U35" t="str">
        <f>IF($A35="","",IF(WEEKDAY($A35,2)&gt;5,"Víkend",IF(COUNTIF(SVATKY_2027!$B$5:$B$22,$A35)&gt;0,"Svátek","")))</f>
        <v/>
      </c>
      <c r="V35">
        <f t="shared" si="3"/>
        <v>0</v>
      </c>
    </row>
    <row r="36" spans="1:22" ht="15.6" customHeight="1" x14ac:dyDescent="0.25">
      <c r="A36" s="17">
        <f>IF(MONTH(DATE(PREDVOLBY!$C$8,12,31))=12,DATE(PREDVOLBY!$C$8,12,31),"")</f>
        <v>46752</v>
      </c>
      <c r="B36" s="18" t="str">
        <f t="shared" si="0"/>
        <v>pá</v>
      </c>
      <c r="C36" s="19">
        <f>IF(OR($A36="",$U36="Víkend"),"",IF($V36&gt;=1,"-",PREDVOLBY!$C$18))</f>
        <v>0.3125</v>
      </c>
      <c r="D36" s="19">
        <f>IF(OR($A36="",$U36="Víkend"),"",IF($V36&gt;=1,"-",PREDVOLBY!$C$19))</f>
        <v>0.47916666666666669</v>
      </c>
      <c r="E36" s="19">
        <f>IF(OR($A36="",$U36="Víkend"),"",IF($V36&gt;=0.5,"-",PREDVOLBY!$C$20))</f>
        <v>0.5</v>
      </c>
      <c r="F36" s="19">
        <f>IF(OR($A36="",$U36="Víkend"),"",IF($V36&gt;=0.5,"-",PREDVOLBY!$C$21))</f>
        <v>0.66666666666666663</v>
      </c>
      <c r="G36" s="20">
        <f t="shared" si="1"/>
        <v>8</v>
      </c>
      <c r="H36" s="20">
        <f>IF($G36="","",IF(ISNUMBER($G36),MAX(0,ROUND($G36-PREDVOLBY!$C$22*(1-$V36),2)),"-"))</f>
        <v>0</v>
      </c>
      <c r="I36" s="21">
        <f>IF($G36="","",IF(AND(ISNUMBER($G36),$J36=""),IF($G36&gt;=PREDVOLBY!$C$26,PREDVOLBY!$C$25,"-"),"-"))</f>
        <v>129.5</v>
      </c>
      <c r="J36" s="18"/>
      <c r="K36" s="18"/>
      <c r="L36" s="18"/>
      <c r="M36" s="18" t="str">
        <f t="shared" si="2"/>
        <v/>
      </c>
      <c r="N36" s="18"/>
      <c r="O36" s="18"/>
      <c r="P36" s="18"/>
      <c r="Q36" s="18"/>
      <c r="R36" s="18"/>
      <c r="S36" s="22" t="str">
        <f>IF($U36="Svátek",IFERROR(INDEX(SVATKY_2027!$C$5:$C$22,MATCH($A36,SVATKY_2027!$B$5:$B$22,0)),""),"")</f>
        <v/>
      </c>
      <c r="U36" t="str">
        <f>IF($A36="","",IF(WEEKDAY($A36,2)&gt;5,"Víkend",IF(COUNTIF(SVATKY_2027!$B$5:$B$22,$A36)&gt;0,"Svátek","")))</f>
        <v/>
      </c>
      <c r="V36">
        <f t="shared" si="3"/>
        <v>0</v>
      </c>
    </row>
    <row r="37" spans="1:22" ht="18" customHeight="1" x14ac:dyDescent="0.25">
      <c r="A37" s="54" t="s">
        <v>79</v>
      </c>
      <c r="B37" s="54"/>
      <c r="C37" s="54"/>
      <c r="D37" s="54"/>
      <c r="E37" s="54"/>
      <c r="F37" s="54"/>
      <c r="G37" s="24">
        <f>SUM(G6:G36)</f>
        <v>176</v>
      </c>
      <c r="H37" s="25">
        <f>SUM(H6:H36)</f>
        <v>0</v>
      </c>
      <c r="I37" s="26">
        <f>SUM(I6:I36)</f>
        <v>2849</v>
      </c>
      <c r="J37" s="27">
        <f>COUNTA(J6:J36)</f>
        <v>0</v>
      </c>
      <c r="K37" s="25">
        <f t="shared" ref="K37:R37" si="4">SUM(K6:K36)+COUNTIF(K6:K36,"x")</f>
        <v>0</v>
      </c>
      <c r="L37" s="25">
        <f t="shared" si="4"/>
        <v>0</v>
      </c>
      <c r="M37" s="25">
        <f t="shared" si="4"/>
        <v>1</v>
      </c>
      <c r="N37" s="25">
        <f t="shared" si="4"/>
        <v>0</v>
      </c>
      <c r="O37" s="25">
        <f t="shared" si="4"/>
        <v>0</v>
      </c>
      <c r="P37" s="25">
        <f t="shared" si="4"/>
        <v>0</v>
      </c>
      <c r="Q37" s="25">
        <f t="shared" si="4"/>
        <v>0</v>
      </c>
      <c r="R37" s="25">
        <f t="shared" si="4"/>
        <v>0</v>
      </c>
      <c r="S37" s="23"/>
    </row>
    <row r="38" spans="1:22" x14ac:dyDescent="0.25">
      <c r="A38" s="55" t="s">
        <v>80</v>
      </c>
      <c r="B38" s="55"/>
      <c r="C38" s="55"/>
      <c r="D38" s="56">
        <f>COUNT(I6:I36)</f>
        <v>22</v>
      </c>
      <c r="E38" s="56"/>
      <c r="F38" s="57" t="str">
        <f>"Nárok na stravné po odpracování "&amp;PREDVOLBY!$C$26&amp;" hodin"</f>
        <v>Nárok na stravné po odpracování 3 hodin</v>
      </c>
      <c r="G38" s="57"/>
      <c r="H38" s="57"/>
      <c r="I38" s="57"/>
      <c r="J38" s="57"/>
      <c r="K38" s="57"/>
      <c r="L38" s="57"/>
      <c r="M38" s="58" t="s">
        <v>81</v>
      </c>
      <c r="N38" s="58"/>
      <c r="O38" s="58"/>
      <c r="P38" s="58"/>
      <c r="Q38" s="58"/>
      <c r="R38" s="58"/>
      <c r="S38" s="58"/>
    </row>
    <row r="39" spans="1:22" x14ac:dyDescent="0.25">
      <c r="A39" s="55"/>
      <c r="B39" s="55"/>
      <c r="C39" s="55"/>
      <c r="D39" s="56"/>
      <c r="E39" s="56"/>
      <c r="F39" s="57"/>
      <c r="G39" s="57"/>
      <c r="H39" s="57"/>
      <c r="I39" s="57"/>
      <c r="J39" s="57"/>
      <c r="K39" s="57"/>
      <c r="L39" s="57"/>
      <c r="M39" s="58"/>
      <c r="N39" s="58"/>
      <c r="O39" s="58"/>
      <c r="P39" s="58"/>
      <c r="Q39" s="58"/>
      <c r="R39" s="58"/>
      <c r="S39" s="58"/>
    </row>
    <row r="40" spans="1:22" x14ac:dyDescent="0.25">
      <c r="A40" s="55"/>
      <c r="B40" s="55"/>
      <c r="C40" s="55"/>
      <c r="D40" s="56"/>
      <c r="E40" s="56"/>
      <c r="F40" s="57"/>
      <c r="G40" s="57"/>
      <c r="H40" s="57"/>
      <c r="I40" s="57"/>
      <c r="J40" s="57"/>
      <c r="K40" s="57"/>
      <c r="L40" s="57"/>
      <c r="M40" s="58"/>
      <c r="N40" s="58"/>
      <c r="O40" s="58"/>
      <c r="P40" s="58"/>
      <c r="Q40" s="58"/>
      <c r="R40" s="58"/>
      <c r="S40" s="58"/>
    </row>
    <row r="42" spans="1:22" x14ac:dyDescent="0.25">
      <c r="A42" s="59" t="s">
        <v>82</v>
      </c>
      <c r="B42" s="59"/>
      <c r="C42" s="59"/>
      <c r="D42" s="59"/>
      <c r="E42" s="59"/>
      <c r="F42" s="59"/>
      <c r="G42" s="59"/>
      <c r="H42" s="59"/>
      <c r="I42" s="59"/>
      <c r="J42" s="59" t="s">
        <v>83</v>
      </c>
      <c r="K42" s="59"/>
      <c r="L42" s="59"/>
      <c r="M42" s="59"/>
      <c r="N42" s="59"/>
      <c r="O42" s="59"/>
      <c r="P42" s="59"/>
      <c r="Q42" s="59"/>
      <c r="R42" s="59"/>
      <c r="S42" s="59"/>
    </row>
    <row r="43" spans="1:22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22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</row>
    <row r="46" spans="1:22" ht="18" customHeight="1" x14ac:dyDescent="0.25">
      <c r="A46" s="60" t="s">
        <v>84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22" ht="18" customHeight="1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9" spans="1:19" ht="18" customHeight="1" x14ac:dyDescent="0.25">
      <c r="A49" s="61" t="str">
        <f>"Dovolená od začátku roku: "&amp;SUM('01_2027'!$K$37,'02_2027'!$K$37,'03_2027'!$K$37,'04_2027'!$K$37,'05_2027'!$K$37,'06_2027'!$K$37,'07_2027'!$K$37,'08_2027'!$K$37,'09_2027'!$K$37,'10_2027'!$K$37,'11_2027'!$K$37,'12_2027'!$K$37)&amp;" / "&amp;PREDVOLBY!$C$13&amp;" dní (zbývá "&amp;(PREDVOLBY!$C$13-SUM('01_2027'!$K$37,'02_2027'!$K$37,'03_2027'!$K$37,'04_2027'!$K$37,'05_2027'!$K$37,'06_2027'!$K$37,'07_2027'!$K$37,'08_2027'!$K$37,'09_2027'!$K$37,'10_2027'!$K$37,'11_2027'!$K$37,'12_2027'!$K$37))&amp;")"</f>
        <v>Dovolená od začátku roku: 0 / 30 dní (zbývá 30)</v>
      </c>
      <c r="B49" s="61"/>
      <c r="C49" s="61"/>
      <c r="D49" s="61"/>
      <c r="E49" s="61"/>
      <c r="F49" s="61"/>
      <c r="G49" s="61" t="str">
        <f>"Home Office: "&amp;SUM('01_2027'!$Q$37,'02_2027'!$Q$37,'03_2027'!$Q$37,'04_2027'!$Q$37,'05_2027'!$Q$37,'06_2027'!$Q$37,'07_2027'!$Q$37,'08_2027'!$Q$37,'09_2027'!$Q$37,'10_2027'!$Q$37,'11_2027'!$Q$37,'12_2027'!$Q$37)&amp;" / "&amp;PREDVOLBY!$C$14&amp;" dní"</f>
        <v>Home Office: 0 / 25 dní</v>
      </c>
      <c r="H49" s="61"/>
      <c r="I49" s="61"/>
      <c r="J49" s="61"/>
      <c r="K49" s="61"/>
      <c r="L49" s="61"/>
      <c r="M49" s="61" t="str">
        <f>"Sick Day: "&amp;SUM('01_2027'!$R$37,'02_2027'!$R$37,'03_2027'!$R$37,'04_2027'!$R$37,'05_2027'!$R$37,'06_2027'!$R$37,'07_2027'!$R$37,'08_2027'!$R$37,'09_2027'!$R$37,'10_2027'!$R$37,'11_2027'!$R$37,'12_2027'!$R$37)&amp;" / "&amp;PREDVOLBY!$C$15&amp;" dní"</f>
        <v>Sick Day: 0 / 5 dní</v>
      </c>
      <c r="N49" s="61"/>
      <c r="O49" s="61"/>
      <c r="P49" s="61"/>
      <c r="Q49" s="61"/>
      <c r="R49" s="61"/>
      <c r="S49" s="61"/>
    </row>
    <row r="51" spans="1:19" x14ac:dyDescent="0.25">
      <c r="A51" s="62" t="s">
        <v>85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</row>
  </sheetData>
  <mergeCells count="31">
    <mergeCell ref="A51:S51"/>
    <mergeCell ref="A42:I44"/>
    <mergeCell ref="J42:S44"/>
    <mergeCell ref="A46:S47"/>
    <mergeCell ref="A49:F49"/>
    <mergeCell ref="G49:L49"/>
    <mergeCell ref="M49:S49"/>
    <mergeCell ref="Q4:Q5"/>
    <mergeCell ref="R4:R5"/>
    <mergeCell ref="S4:S5"/>
    <mergeCell ref="A37:F37"/>
    <mergeCell ref="A38:C40"/>
    <mergeCell ref="D38:E40"/>
    <mergeCell ref="F38:L40"/>
    <mergeCell ref="M38:S40"/>
    <mergeCell ref="C4:D4"/>
    <mergeCell ref="E4:F4"/>
    <mergeCell ref="K4:P4"/>
    <mergeCell ref="A4:A5"/>
    <mergeCell ref="B4:B5"/>
    <mergeCell ref="G4:G5"/>
    <mergeCell ref="H4:H5"/>
    <mergeCell ref="I4:I5"/>
    <mergeCell ref="J4:J5"/>
    <mergeCell ref="A1:M1"/>
    <mergeCell ref="N1:S1"/>
    <mergeCell ref="A2:S2"/>
    <mergeCell ref="A3:B3"/>
    <mergeCell ref="C3:F3"/>
    <mergeCell ref="G3:H3"/>
    <mergeCell ref="I3:S3"/>
  </mergeCells>
  <conditionalFormatting sqref="A6:S36">
    <cfRule type="expression" dxfId="3" priority="1">
      <formula>$U6="Víkend"</formula>
    </cfRule>
    <cfRule type="expression" dxfId="2" priority="2">
      <formula>$U6="Svátek"</formula>
    </cfRule>
  </conditionalFormatting>
  <conditionalFormatting sqref="I3:S3">
    <cfRule type="expression" dxfId="1" priority="4">
      <formula>$I$3="DOPLŇTE ÚDAJE V KARTĚ PŘEDVOLBY"</formula>
    </cfRule>
  </conditionalFormatting>
  <conditionalFormatting sqref="K6:R36">
    <cfRule type="expression" dxfId="0" priority="3">
      <formula>AND(K6&lt;&gt;"",$U6="")</formula>
    </cfRule>
  </conditionalFormatting>
  <dataValidations count="1">
    <dataValidation type="custom" allowBlank="1" showErrorMessage="1" errorTitle="Neplatná hodnota" error="Zadejte 1 (celý den), 0,5 (půl dne) nebo x." sqref="N6:R36 K6:L36" xr:uid="{00000000-0002-0000-0D00-000000000000}">
      <formula1>OR(K6="x",K6=1,K6=0.5)</formula1>
    </dataValidation>
  </dataValidations>
  <pageMargins left="0.4" right="0.4" top="0.5" bottom="0.6" header="0.3" footer="0.3"/>
  <pageSetup paperSize="9" orientation="portrait"/>
  <headerFooter>
    <oddFooter>&amp;L&amp;"Arial,Regular"&amp;8Bezplatná šablona Dodio&amp;C&amp;"Arial,Regular"&amp;8Evidence pracovní doby Prosinec 2027&amp;R&amp;"Arial,Regular"&amp;8Strana &amp;P z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F9D7C"/>
    <pageSetUpPr fitToPage="1"/>
  </sheetPr>
  <dimension ref="B2:N27"/>
  <sheetViews>
    <sheetView showGridLines="0" workbookViewId="0"/>
  </sheetViews>
  <sheetFormatPr defaultRowHeight="15" x14ac:dyDescent="0.25"/>
  <cols>
    <col min="1" max="1" width="3" customWidth="1"/>
    <col min="2" max="2" width="16" customWidth="1"/>
    <col min="3" max="14" width="13" customWidth="1"/>
  </cols>
  <sheetData>
    <row r="2" spans="2:14" ht="30" customHeight="1" x14ac:dyDescent="0.25">
      <c r="B2" s="42" t="s">
        <v>97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2:14" x14ac:dyDescent="0.25">
      <c r="B3" s="43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14" ht="21.95" customHeight="1" x14ac:dyDescent="0.25">
      <c r="B4" s="63" t="str">
        <f>IF(OR(PREDVOLBY!$C$6="",PREDVOLBY!$C$6="Jméno a příjmení"),"DOPLŇTE ÚDAJE V KARTĚ PŘEDVOLBY",PREDVOLBY!$C$6&amp;" · "&amp;PREDVOLBY!$C$7)</f>
        <v>DOPLŇTE ÚDAJE V KARTĚ PŘEDVOLBY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spans="2:14" ht="32.1" customHeight="1" x14ac:dyDescent="0.25">
      <c r="B5" s="28" t="s">
        <v>98</v>
      </c>
      <c r="C5" s="28" t="s">
        <v>99</v>
      </c>
      <c r="D5" s="28" t="s">
        <v>100</v>
      </c>
      <c r="E5" s="28" t="s">
        <v>80</v>
      </c>
      <c r="F5" s="28" t="s">
        <v>101</v>
      </c>
      <c r="G5" s="28" t="s">
        <v>102</v>
      </c>
      <c r="H5" s="28" t="s">
        <v>103</v>
      </c>
      <c r="I5" s="28" t="s">
        <v>104</v>
      </c>
      <c r="J5" s="28" t="s">
        <v>74</v>
      </c>
      <c r="K5" s="28" t="s">
        <v>105</v>
      </c>
      <c r="L5" s="28" t="s">
        <v>106</v>
      </c>
      <c r="M5" s="28" t="s">
        <v>65</v>
      </c>
      <c r="N5" s="28" t="s">
        <v>66</v>
      </c>
    </row>
    <row r="6" spans="2:14" ht="18" customHeight="1" x14ac:dyDescent="0.25">
      <c r="B6" s="29" t="s">
        <v>107</v>
      </c>
      <c r="C6" s="30">
        <f>'01_2027'!$G$37</f>
        <v>160</v>
      </c>
      <c r="D6" s="30">
        <f>'01_2027'!$H$37</f>
        <v>0</v>
      </c>
      <c r="E6" s="31">
        <f>'01_2027'!$D$38</f>
        <v>20</v>
      </c>
      <c r="F6" s="32">
        <f>'01_2027'!$I$37</f>
        <v>2590</v>
      </c>
      <c r="G6" s="30">
        <f>'01_2027'!$K$37</f>
        <v>0</v>
      </c>
      <c r="H6" s="30">
        <f>'01_2027'!$L$37</f>
        <v>0</v>
      </c>
      <c r="I6" s="30">
        <f>'01_2027'!$M$37</f>
        <v>1</v>
      </c>
      <c r="J6" s="30">
        <f>'01_2027'!$N$37</f>
        <v>0</v>
      </c>
      <c r="K6" s="30">
        <f>'01_2027'!$O$37</f>
        <v>0</v>
      </c>
      <c r="L6" s="30">
        <f>'01_2027'!$P$37</f>
        <v>0</v>
      </c>
      <c r="M6" s="30">
        <f>'01_2027'!$Q$37</f>
        <v>0</v>
      </c>
      <c r="N6" s="30">
        <f>'01_2027'!$R$37</f>
        <v>0</v>
      </c>
    </row>
    <row r="7" spans="2:14" ht="18" customHeight="1" x14ac:dyDescent="0.25">
      <c r="B7" s="29" t="s">
        <v>108</v>
      </c>
      <c r="C7" s="33">
        <f>'02_2027'!$G$37</f>
        <v>160</v>
      </c>
      <c r="D7" s="33">
        <f>'02_2027'!$H$37</f>
        <v>0</v>
      </c>
      <c r="E7" s="34">
        <f>'02_2027'!$D$38</f>
        <v>20</v>
      </c>
      <c r="F7" s="35">
        <f>'02_2027'!$I$37</f>
        <v>2590</v>
      </c>
      <c r="G7" s="33">
        <f>'02_2027'!$K$37</f>
        <v>0</v>
      </c>
      <c r="H7" s="33">
        <f>'02_2027'!$L$37</f>
        <v>0</v>
      </c>
      <c r="I7" s="33">
        <f>'02_2027'!$M$37</f>
        <v>0</v>
      </c>
      <c r="J7" s="33">
        <f>'02_2027'!$N$37</f>
        <v>0</v>
      </c>
      <c r="K7" s="33">
        <f>'02_2027'!$O$37</f>
        <v>0</v>
      </c>
      <c r="L7" s="33">
        <f>'02_2027'!$P$37</f>
        <v>0</v>
      </c>
      <c r="M7" s="33">
        <f>'02_2027'!$Q$37</f>
        <v>0</v>
      </c>
      <c r="N7" s="33">
        <f>'02_2027'!$R$37</f>
        <v>0</v>
      </c>
    </row>
    <row r="8" spans="2:14" ht="18" customHeight="1" x14ac:dyDescent="0.25">
      <c r="B8" s="29" t="s">
        <v>109</v>
      </c>
      <c r="C8" s="30">
        <f>'03_2027'!$G$37</f>
        <v>168</v>
      </c>
      <c r="D8" s="30">
        <f>'03_2027'!$H$37</f>
        <v>0</v>
      </c>
      <c r="E8" s="31">
        <f>'03_2027'!$D$38</f>
        <v>21</v>
      </c>
      <c r="F8" s="32">
        <f>'03_2027'!$I$37</f>
        <v>2719.5</v>
      </c>
      <c r="G8" s="30">
        <f>'03_2027'!$K$37</f>
        <v>0</v>
      </c>
      <c r="H8" s="30">
        <f>'03_2027'!$L$37</f>
        <v>0</v>
      </c>
      <c r="I8" s="30">
        <f>'03_2027'!$M$37</f>
        <v>2</v>
      </c>
      <c r="J8" s="30">
        <f>'03_2027'!$N$37</f>
        <v>0</v>
      </c>
      <c r="K8" s="30">
        <f>'03_2027'!$O$37</f>
        <v>0</v>
      </c>
      <c r="L8" s="30">
        <f>'03_2027'!$P$37</f>
        <v>0</v>
      </c>
      <c r="M8" s="30">
        <f>'03_2027'!$Q$37</f>
        <v>0</v>
      </c>
      <c r="N8" s="30">
        <f>'03_2027'!$R$37</f>
        <v>0</v>
      </c>
    </row>
    <row r="9" spans="2:14" ht="18" customHeight="1" x14ac:dyDescent="0.25">
      <c r="B9" s="29" t="s">
        <v>110</v>
      </c>
      <c r="C9" s="33">
        <f>'04_2027'!$G$37</f>
        <v>176</v>
      </c>
      <c r="D9" s="33">
        <f>'04_2027'!$H$37</f>
        <v>0</v>
      </c>
      <c r="E9" s="34">
        <f>'04_2027'!$D$38</f>
        <v>22</v>
      </c>
      <c r="F9" s="35">
        <f>'04_2027'!$I$37</f>
        <v>2849</v>
      </c>
      <c r="G9" s="33">
        <f>'04_2027'!$K$37</f>
        <v>0</v>
      </c>
      <c r="H9" s="33">
        <f>'04_2027'!$L$37</f>
        <v>0</v>
      </c>
      <c r="I9" s="33">
        <f>'04_2027'!$M$37</f>
        <v>0</v>
      </c>
      <c r="J9" s="33">
        <f>'04_2027'!$N$37</f>
        <v>0</v>
      </c>
      <c r="K9" s="33">
        <f>'04_2027'!$O$37</f>
        <v>0</v>
      </c>
      <c r="L9" s="33">
        <f>'04_2027'!$P$37</f>
        <v>0</v>
      </c>
      <c r="M9" s="33">
        <f>'04_2027'!$Q$37</f>
        <v>0</v>
      </c>
      <c r="N9" s="33">
        <f>'04_2027'!$R$37</f>
        <v>0</v>
      </c>
    </row>
    <row r="10" spans="2:14" ht="18" customHeight="1" x14ac:dyDescent="0.25">
      <c r="B10" s="29" t="s">
        <v>111</v>
      </c>
      <c r="C10" s="30">
        <f>'05_2027'!$G$37</f>
        <v>168</v>
      </c>
      <c r="D10" s="30">
        <f>'05_2027'!$H$37</f>
        <v>0</v>
      </c>
      <c r="E10" s="31">
        <f>'05_2027'!$D$38</f>
        <v>21</v>
      </c>
      <c r="F10" s="32">
        <f>'05_2027'!$I$37</f>
        <v>2719.5</v>
      </c>
      <c r="G10" s="30">
        <f>'05_2027'!$K$37</f>
        <v>0</v>
      </c>
      <c r="H10" s="30">
        <f>'05_2027'!$L$37</f>
        <v>0</v>
      </c>
      <c r="I10" s="30">
        <f>'05_2027'!$M$37</f>
        <v>0</v>
      </c>
      <c r="J10" s="30">
        <f>'05_2027'!$N$37</f>
        <v>0</v>
      </c>
      <c r="K10" s="30">
        <f>'05_2027'!$O$37</f>
        <v>0</v>
      </c>
      <c r="L10" s="30">
        <f>'05_2027'!$P$37</f>
        <v>0</v>
      </c>
      <c r="M10" s="30">
        <f>'05_2027'!$Q$37</f>
        <v>0</v>
      </c>
      <c r="N10" s="30">
        <f>'05_2027'!$R$37</f>
        <v>0</v>
      </c>
    </row>
    <row r="11" spans="2:14" ht="18" customHeight="1" x14ac:dyDescent="0.25">
      <c r="B11" s="29" t="s">
        <v>112</v>
      </c>
      <c r="C11" s="33">
        <f>'06_2027'!$G$37</f>
        <v>176</v>
      </c>
      <c r="D11" s="33">
        <f>'06_2027'!$H$37</f>
        <v>0</v>
      </c>
      <c r="E11" s="34">
        <f>'06_2027'!$D$38</f>
        <v>22</v>
      </c>
      <c r="F11" s="35">
        <f>'06_2027'!$I$37</f>
        <v>2849</v>
      </c>
      <c r="G11" s="33">
        <f>'06_2027'!$K$37</f>
        <v>0</v>
      </c>
      <c r="H11" s="33">
        <f>'06_2027'!$L$37</f>
        <v>0</v>
      </c>
      <c r="I11" s="33">
        <f>'06_2027'!$M$37</f>
        <v>0</v>
      </c>
      <c r="J11" s="33">
        <f>'06_2027'!$N$37</f>
        <v>0</v>
      </c>
      <c r="K11" s="33">
        <f>'06_2027'!$O$37</f>
        <v>0</v>
      </c>
      <c r="L11" s="33">
        <f>'06_2027'!$P$37</f>
        <v>0</v>
      </c>
      <c r="M11" s="33">
        <f>'06_2027'!$Q$37</f>
        <v>0</v>
      </c>
      <c r="N11" s="33">
        <f>'06_2027'!$R$37</f>
        <v>0</v>
      </c>
    </row>
    <row r="12" spans="2:14" ht="18" customHeight="1" x14ac:dyDescent="0.25">
      <c r="B12" s="29" t="s">
        <v>113</v>
      </c>
      <c r="C12" s="30">
        <f>'07_2027'!$G$37</f>
        <v>160</v>
      </c>
      <c r="D12" s="30">
        <f>'07_2027'!$H$37</f>
        <v>0</v>
      </c>
      <c r="E12" s="31">
        <f>'07_2027'!$D$38</f>
        <v>20</v>
      </c>
      <c r="F12" s="32">
        <f>'07_2027'!$I$37</f>
        <v>2590</v>
      </c>
      <c r="G12" s="30">
        <f>'07_2027'!$K$37</f>
        <v>0</v>
      </c>
      <c r="H12" s="30">
        <f>'07_2027'!$L$37</f>
        <v>0</v>
      </c>
      <c r="I12" s="30">
        <f>'07_2027'!$M$37</f>
        <v>2</v>
      </c>
      <c r="J12" s="30">
        <f>'07_2027'!$N$37</f>
        <v>0</v>
      </c>
      <c r="K12" s="30">
        <f>'07_2027'!$O$37</f>
        <v>0</v>
      </c>
      <c r="L12" s="30">
        <f>'07_2027'!$P$37</f>
        <v>0</v>
      </c>
      <c r="M12" s="30">
        <f>'07_2027'!$Q$37</f>
        <v>0</v>
      </c>
      <c r="N12" s="30">
        <f>'07_2027'!$R$37</f>
        <v>0</v>
      </c>
    </row>
    <row r="13" spans="2:14" ht="18" customHeight="1" x14ac:dyDescent="0.25">
      <c r="B13" s="29" t="s">
        <v>114</v>
      </c>
      <c r="C13" s="33">
        <f>'08_2027'!$G$37</f>
        <v>176</v>
      </c>
      <c r="D13" s="33">
        <f>'08_2027'!$H$37</f>
        <v>0</v>
      </c>
      <c r="E13" s="34">
        <f>'08_2027'!$D$38</f>
        <v>22</v>
      </c>
      <c r="F13" s="35">
        <f>'08_2027'!$I$37</f>
        <v>2849</v>
      </c>
      <c r="G13" s="33">
        <f>'08_2027'!$K$37</f>
        <v>0</v>
      </c>
      <c r="H13" s="33">
        <f>'08_2027'!$L$37</f>
        <v>0</v>
      </c>
      <c r="I13" s="33">
        <f>'08_2027'!$M$37</f>
        <v>0</v>
      </c>
      <c r="J13" s="33">
        <f>'08_2027'!$N$37</f>
        <v>0</v>
      </c>
      <c r="K13" s="33">
        <f>'08_2027'!$O$37</f>
        <v>0</v>
      </c>
      <c r="L13" s="33">
        <f>'08_2027'!$P$37</f>
        <v>0</v>
      </c>
      <c r="M13" s="33">
        <f>'08_2027'!$Q$37</f>
        <v>0</v>
      </c>
      <c r="N13" s="33">
        <f>'08_2027'!$R$37</f>
        <v>0</v>
      </c>
    </row>
    <row r="14" spans="2:14" ht="18" customHeight="1" x14ac:dyDescent="0.25">
      <c r="B14" s="29" t="s">
        <v>115</v>
      </c>
      <c r="C14" s="30">
        <f>'09_2027'!$G$37</f>
        <v>168</v>
      </c>
      <c r="D14" s="30">
        <f>'09_2027'!$H$37</f>
        <v>0</v>
      </c>
      <c r="E14" s="31">
        <f>'09_2027'!$D$38</f>
        <v>21</v>
      </c>
      <c r="F14" s="32">
        <f>'09_2027'!$I$37</f>
        <v>2719.5</v>
      </c>
      <c r="G14" s="30">
        <f>'09_2027'!$K$37</f>
        <v>0</v>
      </c>
      <c r="H14" s="30">
        <f>'09_2027'!$L$37</f>
        <v>0</v>
      </c>
      <c r="I14" s="30">
        <f>'09_2027'!$M$37</f>
        <v>1</v>
      </c>
      <c r="J14" s="30">
        <f>'09_2027'!$N$37</f>
        <v>0</v>
      </c>
      <c r="K14" s="30">
        <f>'09_2027'!$O$37</f>
        <v>0</v>
      </c>
      <c r="L14" s="30">
        <f>'09_2027'!$P$37</f>
        <v>0</v>
      </c>
      <c r="M14" s="30">
        <f>'09_2027'!$Q$37</f>
        <v>0</v>
      </c>
      <c r="N14" s="30">
        <f>'09_2027'!$R$37</f>
        <v>0</v>
      </c>
    </row>
    <row r="15" spans="2:14" ht="18" customHeight="1" x14ac:dyDescent="0.25">
      <c r="B15" s="29" t="s">
        <v>116</v>
      </c>
      <c r="C15" s="33">
        <f>'10_2027'!$G$37</f>
        <v>160</v>
      </c>
      <c r="D15" s="33">
        <f>'10_2027'!$H$37</f>
        <v>0</v>
      </c>
      <c r="E15" s="34">
        <f>'10_2027'!$D$38</f>
        <v>20</v>
      </c>
      <c r="F15" s="35">
        <f>'10_2027'!$I$37</f>
        <v>2590</v>
      </c>
      <c r="G15" s="33">
        <f>'10_2027'!$K$37</f>
        <v>0</v>
      </c>
      <c r="H15" s="33">
        <f>'10_2027'!$L$37</f>
        <v>0</v>
      </c>
      <c r="I15" s="33">
        <f>'10_2027'!$M$37</f>
        <v>1</v>
      </c>
      <c r="J15" s="33">
        <f>'10_2027'!$N$37</f>
        <v>0</v>
      </c>
      <c r="K15" s="33">
        <f>'10_2027'!$O$37</f>
        <v>0</v>
      </c>
      <c r="L15" s="33">
        <f>'10_2027'!$P$37</f>
        <v>0</v>
      </c>
      <c r="M15" s="33">
        <f>'10_2027'!$Q$37</f>
        <v>0</v>
      </c>
      <c r="N15" s="33">
        <f>'10_2027'!$R$37</f>
        <v>0</v>
      </c>
    </row>
    <row r="16" spans="2:14" ht="18" customHeight="1" x14ac:dyDescent="0.25">
      <c r="B16" s="29" t="s">
        <v>117</v>
      </c>
      <c r="C16" s="30">
        <f>'11_2027'!$G$37</f>
        <v>168</v>
      </c>
      <c r="D16" s="30">
        <f>'11_2027'!$H$37</f>
        <v>0</v>
      </c>
      <c r="E16" s="31">
        <f>'11_2027'!$D$38</f>
        <v>21</v>
      </c>
      <c r="F16" s="32">
        <f>'11_2027'!$I$37</f>
        <v>2719.5</v>
      </c>
      <c r="G16" s="30">
        <f>'11_2027'!$K$37</f>
        <v>0</v>
      </c>
      <c r="H16" s="30">
        <f>'11_2027'!$L$37</f>
        <v>0</v>
      </c>
      <c r="I16" s="30">
        <f>'11_2027'!$M$37</f>
        <v>1</v>
      </c>
      <c r="J16" s="30">
        <f>'11_2027'!$N$37</f>
        <v>0</v>
      </c>
      <c r="K16" s="30">
        <f>'11_2027'!$O$37</f>
        <v>0</v>
      </c>
      <c r="L16" s="30">
        <f>'11_2027'!$P$37</f>
        <v>0</v>
      </c>
      <c r="M16" s="30">
        <f>'11_2027'!$Q$37</f>
        <v>0</v>
      </c>
      <c r="N16" s="30">
        <f>'11_2027'!$R$37</f>
        <v>0</v>
      </c>
    </row>
    <row r="17" spans="2:14" ht="18" customHeight="1" x14ac:dyDescent="0.25">
      <c r="B17" s="29" t="s">
        <v>118</v>
      </c>
      <c r="C17" s="33">
        <f>'12_2027'!$G$37</f>
        <v>176</v>
      </c>
      <c r="D17" s="33">
        <f>'12_2027'!$H$37</f>
        <v>0</v>
      </c>
      <c r="E17" s="34">
        <f>'12_2027'!$D$38</f>
        <v>22</v>
      </c>
      <c r="F17" s="35">
        <f>'12_2027'!$I$37</f>
        <v>2849</v>
      </c>
      <c r="G17" s="33">
        <f>'12_2027'!$K$37</f>
        <v>0</v>
      </c>
      <c r="H17" s="33">
        <f>'12_2027'!$L$37</f>
        <v>0</v>
      </c>
      <c r="I17" s="33">
        <f>'12_2027'!$M$37</f>
        <v>1</v>
      </c>
      <c r="J17" s="33">
        <f>'12_2027'!$N$37</f>
        <v>0</v>
      </c>
      <c r="K17" s="33">
        <f>'12_2027'!$O$37</f>
        <v>0</v>
      </c>
      <c r="L17" s="33">
        <f>'12_2027'!$P$37</f>
        <v>0</v>
      </c>
      <c r="M17" s="33">
        <f>'12_2027'!$Q$37</f>
        <v>0</v>
      </c>
      <c r="N17" s="33">
        <f>'12_2027'!$R$37</f>
        <v>0</v>
      </c>
    </row>
    <row r="18" spans="2:14" ht="20.100000000000001" customHeight="1" x14ac:dyDescent="0.25">
      <c r="B18" s="36" t="s">
        <v>119</v>
      </c>
      <c r="C18" s="37">
        <f t="shared" ref="C18:N18" si="0">SUM(C6:C17)</f>
        <v>2016</v>
      </c>
      <c r="D18" s="37">
        <f t="shared" si="0"/>
        <v>0</v>
      </c>
      <c r="E18" s="38">
        <f t="shared" si="0"/>
        <v>252</v>
      </c>
      <c r="F18" s="39">
        <f t="shared" si="0"/>
        <v>32634</v>
      </c>
      <c r="G18" s="37">
        <f t="shared" si="0"/>
        <v>0</v>
      </c>
      <c r="H18" s="37">
        <f t="shared" si="0"/>
        <v>0</v>
      </c>
      <c r="I18" s="37">
        <f t="shared" si="0"/>
        <v>9</v>
      </c>
      <c r="J18" s="37">
        <f t="shared" si="0"/>
        <v>0</v>
      </c>
      <c r="K18" s="37">
        <f t="shared" si="0"/>
        <v>0</v>
      </c>
      <c r="L18" s="37">
        <f t="shared" si="0"/>
        <v>0</v>
      </c>
      <c r="M18" s="37">
        <f t="shared" si="0"/>
        <v>0</v>
      </c>
      <c r="N18" s="37">
        <f t="shared" si="0"/>
        <v>0</v>
      </c>
    </row>
    <row r="20" spans="2:14" ht="20.100000000000001" customHeight="1" x14ac:dyDescent="0.25">
      <c r="B20" s="44" t="s">
        <v>120</v>
      </c>
      <c r="C20" s="44"/>
      <c r="D20" s="44"/>
      <c r="E20" s="44"/>
      <c r="F20" s="44"/>
    </row>
    <row r="21" spans="2:14" ht="18" customHeight="1" x14ac:dyDescent="0.25">
      <c r="B21" s="64" t="s">
        <v>121</v>
      </c>
      <c r="C21" s="64"/>
      <c r="D21" s="64"/>
      <c r="E21" s="64"/>
      <c r="F21" s="40">
        <f>PREDVOLBY!$C$13</f>
        <v>30</v>
      </c>
    </row>
    <row r="22" spans="2:14" ht="18" customHeight="1" x14ac:dyDescent="0.25">
      <c r="B22" s="64" t="s">
        <v>122</v>
      </c>
      <c r="C22" s="64"/>
      <c r="D22" s="64"/>
      <c r="E22" s="64"/>
      <c r="F22" s="40">
        <f>G18</f>
        <v>0</v>
      </c>
    </row>
    <row r="23" spans="2:14" ht="18" customHeight="1" x14ac:dyDescent="0.25">
      <c r="B23" s="64" t="s">
        <v>123</v>
      </c>
      <c r="C23" s="64"/>
      <c r="D23" s="64"/>
      <c r="E23" s="64"/>
      <c r="F23" s="40">
        <f>F21-F22</f>
        <v>30</v>
      </c>
    </row>
    <row r="24" spans="2:14" ht="18" customHeight="1" x14ac:dyDescent="0.25">
      <c r="B24" s="64" t="s">
        <v>124</v>
      </c>
      <c r="C24" s="64"/>
      <c r="D24" s="64"/>
      <c r="E24" s="64"/>
      <c r="F24" s="41" t="str">
        <f>M18&amp;" / "&amp;PREDVOLBY!$C$14</f>
        <v>0 / 25</v>
      </c>
    </row>
    <row r="25" spans="2:14" ht="18" customHeight="1" x14ac:dyDescent="0.25">
      <c r="B25" s="64" t="s">
        <v>125</v>
      </c>
      <c r="C25" s="64"/>
      <c r="D25" s="64"/>
      <c r="E25" s="64"/>
      <c r="F25" s="41" t="str">
        <f>N18&amp;" / "&amp;PREDVOLBY!$C$15</f>
        <v>0 / 5</v>
      </c>
    </row>
    <row r="27" spans="2:14" x14ac:dyDescent="0.25">
      <c r="B27" s="62" t="s">
        <v>85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</row>
  </sheetData>
  <mergeCells count="10">
    <mergeCell ref="B22:E22"/>
    <mergeCell ref="B23:E23"/>
    <mergeCell ref="B24:E24"/>
    <mergeCell ref="B25:E25"/>
    <mergeCell ref="B27:N27"/>
    <mergeCell ref="B2:N2"/>
    <mergeCell ref="B3:N3"/>
    <mergeCell ref="B4:N4"/>
    <mergeCell ref="B20:F20"/>
    <mergeCell ref="B21:E21"/>
  </mergeCells>
  <pageMargins left="0.7" right="0.7" top="0.78740157499999996" bottom="0.78740157499999996" header="0.3" footer="0.3"/>
  <pageSetup paperSize="9" orientation="landscape"/>
  <headerFooter>
    <oddFooter>&amp;L&amp;"Arial,Regular"&amp;8Bezplatná šablona Dodio&amp;C&amp;"Arial,Regular"&amp;8Roční přehled 2027&amp;R&amp;"Arial,Regular"&amp;8Strana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15</vt:i4>
      </vt:variant>
      <vt:variant>
        <vt:lpstr>Pojmenované oblasti</vt:lpstr>
      </vt:variant>
      <vt:variant>
        <vt:i4>12</vt:i4>
      </vt:variant>
    </vt:vector>
  </HeadingPairs>
  <TitlesOfParts>
    <vt:vector size="27" baseType="lpstr">
      <vt:lpstr>PREDVOLBY</vt:lpstr>
      <vt:lpstr>SVATKY_2027</vt:lpstr>
      <vt:lpstr>01_2027</vt:lpstr>
      <vt:lpstr>02_2027</vt:lpstr>
      <vt:lpstr>03_2027</vt:lpstr>
      <vt:lpstr>04_2027</vt:lpstr>
      <vt:lpstr>05_2027</vt:lpstr>
      <vt:lpstr>06_2027</vt:lpstr>
      <vt:lpstr>07_2027</vt:lpstr>
      <vt:lpstr>08_2027</vt:lpstr>
      <vt:lpstr>09_2027</vt:lpstr>
      <vt:lpstr>10_2027</vt:lpstr>
      <vt:lpstr>11_2027</vt:lpstr>
      <vt:lpstr>12_2027</vt:lpstr>
      <vt:lpstr>PREHLED_2027</vt:lpstr>
      <vt:lpstr>'01_2027'!Oblast_tisku</vt:lpstr>
      <vt:lpstr>'02_2027'!Oblast_tisku</vt:lpstr>
      <vt:lpstr>'03_2027'!Oblast_tisku</vt:lpstr>
      <vt:lpstr>'04_2027'!Oblast_tisku</vt:lpstr>
      <vt:lpstr>'05_2027'!Oblast_tisku</vt:lpstr>
      <vt:lpstr>'06_2027'!Oblast_tisku</vt:lpstr>
      <vt:lpstr>'07_2027'!Oblast_tisku</vt:lpstr>
      <vt:lpstr>'08_2027'!Oblast_tisku</vt:lpstr>
      <vt:lpstr>'09_2027'!Oblast_tisku</vt:lpstr>
      <vt:lpstr>'10_2027'!Oblast_tisku</vt:lpstr>
      <vt:lpstr>'11_2027'!Oblast_tisku</vt:lpstr>
      <vt:lpstr>'12_2027'!Oblast_tisku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Evidence pracovní doby 2027</dc:title>
  <dc:subject/>
  <dc:creator/>
  <cp:keywords/>
  <dc:description/>
  <cp:lastModifiedBy/>
  <dcterms:created xsi:type="dcterms:W3CDTF">2026-09-30T07:32:22Z</dcterms:created>
  <dcterms:modified xsi:type="dcterms:W3CDTF">2026-09-30T07:34:12Z</dcterms:modified>
  <cp:category/>
</cp:coreProperties>
</file>